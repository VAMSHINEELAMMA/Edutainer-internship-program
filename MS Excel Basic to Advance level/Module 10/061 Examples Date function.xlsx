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 activeTab="2"/>
  </bookViews>
  <sheets>
    <sheet name="Date function" sheetId="1" r:id="rId1"/>
    <sheet name="datedif" sheetId="2" r:id="rId2"/>
    <sheet name="payment aging repor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aa" localSheetId="1">#REF!</definedName>
    <definedName name="aaaaaa">#REF!</definedName>
    <definedName name="amarks" localSheetId="1">#REF!</definedName>
    <definedName name="amarks">#REF!</definedName>
    <definedName name="cost">[1]Sheet22!$D$4</definedName>
    <definedName name="criteria1" localSheetId="1">'[2]Advance filter'!#REF!</definedName>
    <definedName name="criteria1">'[2]Advance filter'!#REF!</definedName>
    <definedName name="Employee_ID">"sheet34!a1:a10"</definedName>
    <definedName name="etype">'[3]Data validation'!$G$29:$G$31</definedName>
    <definedName name="GST">'[4]Cell references'!$H$2</definedName>
    <definedName name="lap_price" localSheetId="1">#REF!</definedName>
    <definedName name="lap_price">#REF!</definedName>
    <definedName name="lap_qty" localSheetId="1">#REF!</definedName>
    <definedName name="lap_qty">#REF!</definedName>
    <definedName name="laptop_price" localSheetId="1">#REF!</definedName>
    <definedName name="laptop_price">#REF!</definedName>
    <definedName name="Laptop_qty" localSheetId="1">#REF!</definedName>
    <definedName name="Laptop_qty">#REF!</definedName>
    <definedName name="marks_list" localSheetId="1">#REF!</definedName>
    <definedName name="marks_list">#REF!</definedName>
    <definedName name="marks_list1" localSheetId="1">#REF!</definedName>
    <definedName name="marks_list1">#REF!</definedName>
    <definedName name="mobileprice" localSheetId="1">#REF!</definedName>
    <definedName name="mobileprice">#REF!</definedName>
    <definedName name="PF">[5]Sheet15!$B$3</definedName>
    <definedName name="Price" localSheetId="1">#REF!</definedName>
    <definedName name="Price">#REF!</definedName>
    <definedName name="qty">[1]Sheet22!$D$5</definedName>
    <definedName name="quantity" localSheetId="1">#REF!</definedName>
    <definedName name="quantity">#REF!</definedName>
    <definedName name="salary">[1]Sheet22!$F$2:$F$6</definedName>
    <definedName name="salesvalue">[6]Sheet25!$E$3:$E$10</definedName>
    <definedName name="totaltax" localSheetId="1">#REF!</definedName>
    <definedName name="totaltax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C3" i="3"/>
  <c r="C4" i="3"/>
  <c r="C5" i="3"/>
  <c r="C6" i="3"/>
  <c r="C7" i="3"/>
  <c r="C8" i="3"/>
  <c r="C9" i="3"/>
  <c r="C10" i="3"/>
  <c r="C11" i="3"/>
  <c r="C2" i="3"/>
  <c r="B3" i="2" l="1"/>
  <c r="B11" i="2" s="1"/>
  <c r="D4" i="1"/>
  <c r="D5" i="1"/>
  <c r="D6" i="1"/>
  <c r="D3" i="1"/>
  <c r="B29" i="1" l="1"/>
  <c r="C8" i="2" l="1"/>
  <c r="B8" i="2"/>
  <c r="C7" i="2"/>
  <c r="B6" i="2"/>
  <c r="B7" i="2"/>
  <c r="D2" i="2"/>
</calcChain>
</file>

<file path=xl/sharedStrings.xml><?xml version="1.0" encoding="utf-8"?>
<sst xmlns="http://schemas.openxmlformats.org/spreadsheetml/2006/main" count="24" uniqueCount="24">
  <si>
    <t>Date</t>
  </si>
  <si>
    <t>Employee Name</t>
  </si>
  <si>
    <t>Date of Join</t>
  </si>
  <si>
    <t>Total year of experience</t>
  </si>
  <si>
    <t>Rajesh</t>
  </si>
  <si>
    <t>Kumar</t>
  </si>
  <si>
    <t>Vinay</t>
  </si>
  <si>
    <t>Avinash</t>
  </si>
  <si>
    <t>Invoce No</t>
  </si>
  <si>
    <t>Invoice date</t>
  </si>
  <si>
    <t>Remarks</t>
  </si>
  <si>
    <t>Pending</t>
  </si>
  <si>
    <t>Due</t>
  </si>
  <si>
    <t>Over due</t>
  </si>
  <si>
    <t>DAY</t>
  </si>
  <si>
    <t>MONTH</t>
  </si>
  <si>
    <t>YEAR</t>
  </si>
  <si>
    <t>DATE</t>
  </si>
  <si>
    <t>&lt;=0 days</t>
  </si>
  <si>
    <t>&gt;0 and &lt;=30</t>
  </si>
  <si>
    <t>&gt;30</t>
  </si>
  <si>
    <t>Credit period (30 days)
Due date</t>
  </si>
  <si>
    <t>Cur date - Due date</t>
  </si>
  <si>
    <t>Current date(You can obtain using = today())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</si>
</sst>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1" fillId="3" borderId="1" xfId="0" applyFont="1" applyFill="1" applyBorder="1"/>
    <xf numFmtId="0" fontId="1" fillId="3" borderId="0" xfId="0" applyFont="1" applyFill="1" applyBorder="1"/>
    <xf numFmtId="14" fontId="0" fillId="2" borderId="0" xfId="0" applyNumberFormat="1" applyFill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8-2022/Excel%20dem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mple calculation"/>
      <sheetName val="Borders and shading"/>
      <sheetName val="Sheet8"/>
      <sheetName val="Jan"/>
      <sheetName val="Feb"/>
      <sheetName val="Jan (2)"/>
      <sheetName val="Simple calculation (2)"/>
      <sheetName val="Filters"/>
      <sheetName val="Sheet10"/>
      <sheetName val="Sheet11"/>
      <sheetName val="Cell references"/>
      <sheetName val="Sheet13"/>
      <sheetName val="Sheet14"/>
      <sheetName val="Sheet15"/>
      <sheetName val="Sheet16"/>
      <sheetName val="simple if function"/>
      <sheetName val="Sheet18"/>
      <sheetName val="Sheet19"/>
      <sheetName val="text functions"/>
      <sheetName val="Chart8"/>
      <sheetName val="Sales data"/>
      <sheetName val="Sheet1"/>
      <sheetName val="Sheet2"/>
      <sheetName val="Sheet3"/>
      <sheetName val="Sheet4"/>
      <sheetName val="Scenario Summary"/>
      <sheetName val="Scenario Summary 2"/>
      <sheetName val="What if analysis"/>
      <sheetName val="Date function"/>
      <sheetName val="subtotal"/>
      <sheetName val="Sheet9"/>
      <sheetName val="sheet20"/>
      <sheetName val="sheet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H2">
            <v>0.18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6"/>
  <sheetViews>
    <sheetView zoomScale="130" zoomScaleNormal="130" workbookViewId="0">
      <selection activeCell="C10" sqref="C10"/>
    </sheetView>
  </sheetViews>
  <sheetFormatPr defaultRowHeight="15" x14ac:dyDescent="0.25"/>
  <cols>
    <col min="2" max="2" width="19.42578125" customWidth="1"/>
    <col min="3" max="3" width="14.140625" customWidth="1"/>
    <col min="4" max="4" width="23" customWidth="1"/>
    <col min="5" max="5" width="10.42578125" customWidth="1"/>
    <col min="6" max="6" width="17.85546875" bestFit="1" customWidth="1"/>
    <col min="7" max="7" width="14.5703125" customWidth="1"/>
    <col min="8" max="8" width="13.140625" customWidth="1"/>
  </cols>
  <sheetData>
    <row r="2" spans="2:7" x14ac:dyDescent="0.25">
      <c r="B2" s="5" t="s">
        <v>1</v>
      </c>
      <c r="C2" s="5" t="s">
        <v>2</v>
      </c>
      <c r="D2" s="5" t="s">
        <v>3</v>
      </c>
      <c r="F2" s="6" t="s">
        <v>0</v>
      </c>
      <c r="G2" s="7">
        <v>45214</v>
      </c>
    </row>
    <row r="3" spans="2:7" x14ac:dyDescent="0.25">
      <c r="B3" s="2" t="s">
        <v>4</v>
      </c>
      <c r="C3" s="3">
        <v>40308</v>
      </c>
      <c r="D3" s="4">
        <f>YEAR($G$2)-YEAR(C3)</f>
        <v>13</v>
      </c>
    </row>
    <row r="4" spans="2:7" x14ac:dyDescent="0.25">
      <c r="B4" s="2" t="s">
        <v>5</v>
      </c>
      <c r="C4" s="3">
        <v>41685</v>
      </c>
      <c r="D4" s="4">
        <f t="shared" ref="D4:D6" si="0">YEAR($G$2)-YEAR(C4)</f>
        <v>9</v>
      </c>
    </row>
    <row r="5" spans="2:7" x14ac:dyDescent="0.25">
      <c r="B5" s="2" t="s">
        <v>6</v>
      </c>
      <c r="C5" s="3">
        <v>43297</v>
      </c>
      <c r="D5" s="4">
        <f t="shared" si="0"/>
        <v>5</v>
      </c>
    </row>
    <row r="6" spans="2:7" x14ac:dyDescent="0.25">
      <c r="B6" s="2" t="s">
        <v>7</v>
      </c>
      <c r="C6" s="3">
        <v>42841</v>
      </c>
      <c r="D6" s="4">
        <f t="shared" si="0"/>
        <v>6</v>
      </c>
    </row>
    <row r="10" spans="2:7" x14ac:dyDescent="0.25">
      <c r="D10" s="1"/>
    </row>
    <row r="11" spans="2:7" x14ac:dyDescent="0.25">
      <c r="F11" t="s">
        <v>14</v>
      </c>
    </row>
    <row r="12" spans="2:7" x14ac:dyDescent="0.25">
      <c r="F12" t="s">
        <v>15</v>
      </c>
    </row>
    <row r="13" spans="2:7" x14ac:dyDescent="0.25">
      <c r="F13" t="s">
        <v>16</v>
      </c>
    </row>
    <row r="14" spans="2:7" x14ac:dyDescent="0.25">
      <c r="F14" t="s">
        <v>17</v>
      </c>
    </row>
    <row r="26" spans="2:4" x14ac:dyDescent="0.25">
      <c r="B26" s="1">
        <v>44440</v>
      </c>
      <c r="D26" s="1">
        <v>44440</v>
      </c>
    </row>
    <row r="27" spans="2:4" x14ac:dyDescent="0.25">
      <c r="B27" s="1">
        <v>44469</v>
      </c>
      <c r="D27" s="1">
        <v>44449</v>
      </c>
    </row>
    <row r="29" spans="2:4" x14ac:dyDescent="0.25">
      <c r="B29">
        <f>NETWORKDAYS(B26,B27,D26:D27)</f>
        <v>20</v>
      </c>
    </row>
    <row r="46" spans="5:6" x14ac:dyDescent="0.25">
      <c r="E46" s="1"/>
      <c r="F46" s="1">
        <v>44865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zoomScale="130" zoomScaleNormal="130" workbookViewId="0">
      <selection activeCell="C15" sqref="C15"/>
    </sheetView>
  </sheetViews>
  <sheetFormatPr defaultRowHeight="15" x14ac:dyDescent="0.25"/>
  <cols>
    <col min="2" max="2" width="23.85546875" customWidth="1"/>
    <col min="3" max="3" width="11.42578125" bestFit="1" customWidth="1"/>
    <col min="4" max="4" width="27.42578125" customWidth="1"/>
    <col min="5" max="5" width="10.42578125" customWidth="1"/>
    <col min="6" max="6" width="17.85546875" bestFit="1" customWidth="1"/>
    <col min="7" max="7" width="14.5703125" customWidth="1"/>
    <col min="8" max="8" width="13.140625" customWidth="1"/>
  </cols>
  <sheetData>
    <row r="2" spans="2:4" x14ac:dyDescent="0.25">
      <c r="B2" s="3">
        <v>40275</v>
      </c>
      <c r="D2" t="str">
        <f ca="1">DATEDIF(B2,B3,"y") &amp; " year " &amp; DATEDIF(B2,B3,"ym") &amp; " Months " &amp; DATEDIF(B2,B3,"md") &amp; " Days "</f>
        <v xml:space="preserve">13 year 10 Months 12 Days </v>
      </c>
    </row>
    <row r="3" spans="2:4" x14ac:dyDescent="0.25">
      <c r="B3" s="1">
        <f ca="1">TODAY()</f>
        <v>45341</v>
      </c>
    </row>
    <row r="6" spans="2:4" x14ac:dyDescent="0.25">
      <c r="B6">
        <f ca="1">DATEDIF(B2,B3,"Y")</f>
        <v>13</v>
      </c>
    </row>
    <row r="7" spans="2:4" x14ac:dyDescent="0.25">
      <c r="B7">
        <f ca="1">DATEDIF(B2,B3,"M")</f>
        <v>166</v>
      </c>
      <c r="C7">
        <f ca="1">DATEDIF(B2,B3,"YM")</f>
        <v>10</v>
      </c>
    </row>
    <row r="8" spans="2:4" x14ac:dyDescent="0.25">
      <c r="B8">
        <f ca="1">DATEDIF(B2,B3,"D")</f>
        <v>5066</v>
      </c>
      <c r="C8">
        <f ca="1">DATEDIF(B2,B3,"MD")</f>
        <v>12</v>
      </c>
    </row>
    <row r="11" spans="2:4" x14ac:dyDescent="0.25">
      <c r="B11" s="1" t="str">
        <f ca="1">DATEDIF(B2,B3,"Y")&amp;" Years " &amp;DATEDIF(B2,B3,"YM")&amp;" Months "&amp;DATEDIF(B2,B3,"MD")&amp; " Days "</f>
        <v xml:space="preserve">13 Years 10 Months 12 Days </v>
      </c>
    </row>
    <row r="31" spans="5:6" x14ac:dyDescent="0.25">
      <c r="E31" s="1"/>
      <c r="F31" s="1">
        <v>44865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="120" zoomScaleNormal="120" workbookViewId="0">
      <selection activeCell="D13" sqref="D13"/>
    </sheetView>
  </sheetViews>
  <sheetFormatPr defaultRowHeight="15" x14ac:dyDescent="0.25"/>
  <cols>
    <col min="1" max="1" width="15.140625" customWidth="1"/>
    <col min="2" max="2" width="18.42578125" customWidth="1"/>
    <col min="3" max="3" width="21.42578125" bestFit="1" customWidth="1"/>
    <col min="4" max="4" width="21" customWidth="1"/>
    <col min="5" max="5" width="17.7109375" customWidth="1"/>
    <col min="7" max="7" width="18.5703125" customWidth="1"/>
    <col min="8" max="8" width="24.28515625" customWidth="1"/>
  </cols>
  <sheetData>
    <row r="1" spans="1:8" ht="45" customHeight="1" x14ac:dyDescent="0.25">
      <c r="A1" s="8" t="s">
        <v>8</v>
      </c>
      <c r="B1" s="9" t="s">
        <v>9</v>
      </c>
      <c r="C1" s="10" t="s">
        <v>21</v>
      </c>
      <c r="D1" s="10" t="s">
        <v>23</v>
      </c>
      <c r="E1" s="9" t="s">
        <v>10</v>
      </c>
    </row>
    <row r="2" spans="1:8" x14ac:dyDescent="0.25">
      <c r="A2" s="2">
        <v>321</v>
      </c>
      <c r="B2" s="3">
        <v>45270</v>
      </c>
      <c r="C2" s="3">
        <f>DATE(YEAR(B2),MONTH(B2),DAY(B2)+30)</f>
        <v>45300</v>
      </c>
      <c r="D2" s="3">
        <v>45280</v>
      </c>
      <c r="E2" s="3" t="str">
        <f>IF(_xlfn.DAYS(D2,C2)&lt;=0,"Pending",IF(AND(_xlfn.DAYS(D2,C2)&gt;0,_xlfn.DAYS(D2,C2)&lt;=30),"Due","Over Due"))</f>
        <v>Pending</v>
      </c>
      <c r="G2" s="11" t="s">
        <v>22</v>
      </c>
    </row>
    <row r="3" spans="1:8" x14ac:dyDescent="0.25">
      <c r="A3" s="2">
        <v>322</v>
      </c>
      <c r="B3" s="3">
        <v>45153</v>
      </c>
      <c r="C3" s="3">
        <f t="shared" ref="C3:C11" si="0">DATE(YEAR(B3),MONTH(B3),DAY(B3)+30)</f>
        <v>45183</v>
      </c>
      <c r="D3" s="3">
        <v>45280</v>
      </c>
      <c r="E3" s="3" t="str">
        <f t="shared" ref="E3:E11" si="1">IF(_xlfn.DAYS(D3,C3)&lt;=0,"Pending",IF(AND(_xlfn.DAYS(D3,C3)&gt;0,_xlfn.DAYS(D3,C3)&lt;=30),"Due","Over Due"))</f>
        <v>Over Due</v>
      </c>
      <c r="G3" s="2" t="s">
        <v>18</v>
      </c>
      <c r="H3" s="2" t="s">
        <v>11</v>
      </c>
    </row>
    <row r="4" spans="1:8" x14ac:dyDescent="0.25">
      <c r="A4" s="2">
        <v>323</v>
      </c>
      <c r="B4" s="3">
        <v>45246</v>
      </c>
      <c r="C4" s="3">
        <f t="shared" si="0"/>
        <v>45276</v>
      </c>
      <c r="D4" s="3">
        <v>45280</v>
      </c>
      <c r="E4" s="3" t="str">
        <f t="shared" si="1"/>
        <v>Due</v>
      </c>
      <c r="G4" s="2" t="s">
        <v>19</v>
      </c>
      <c r="H4" s="2" t="s">
        <v>12</v>
      </c>
    </row>
    <row r="5" spans="1:8" x14ac:dyDescent="0.25">
      <c r="A5" s="2">
        <v>324</v>
      </c>
      <c r="B5" s="3">
        <v>45032</v>
      </c>
      <c r="C5" s="3">
        <f t="shared" si="0"/>
        <v>45062</v>
      </c>
      <c r="D5" s="3">
        <v>45280</v>
      </c>
      <c r="E5" s="3" t="str">
        <f t="shared" si="1"/>
        <v>Over Due</v>
      </c>
      <c r="G5" s="2" t="s">
        <v>20</v>
      </c>
      <c r="H5" s="2" t="s">
        <v>13</v>
      </c>
    </row>
    <row r="6" spans="1:8" x14ac:dyDescent="0.25">
      <c r="A6" s="2">
        <v>325</v>
      </c>
      <c r="B6" s="3">
        <v>45270</v>
      </c>
      <c r="C6" s="3">
        <f t="shared" si="0"/>
        <v>45300</v>
      </c>
      <c r="D6" s="3">
        <v>45280</v>
      </c>
      <c r="E6" s="3" t="str">
        <f t="shared" si="1"/>
        <v>Pending</v>
      </c>
    </row>
    <row r="7" spans="1:8" x14ac:dyDescent="0.25">
      <c r="A7" s="2">
        <v>326</v>
      </c>
      <c r="B7" s="3">
        <v>45218</v>
      </c>
      <c r="C7" s="3">
        <f t="shared" si="0"/>
        <v>45248</v>
      </c>
      <c r="D7" s="3">
        <v>45280</v>
      </c>
      <c r="E7" s="3" t="str">
        <f t="shared" si="1"/>
        <v>Over Due</v>
      </c>
    </row>
    <row r="8" spans="1:8" x14ac:dyDescent="0.25">
      <c r="A8" s="2">
        <v>327</v>
      </c>
      <c r="B8" s="3">
        <v>45219</v>
      </c>
      <c r="C8" s="3">
        <f t="shared" si="0"/>
        <v>45249</v>
      </c>
      <c r="D8" s="3">
        <v>45280</v>
      </c>
      <c r="E8" s="3" t="str">
        <f t="shared" si="1"/>
        <v>Over Due</v>
      </c>
    </row>
    <row r="9" spans="1:8" x14ac:dyDescent="0.25">
      <c r="A9" s="2">
        <v>328</v>
      </c>
      <c r="B9" s="3">
        <v>45246</v>
      </c>
      <c r="C9" s="3">
        <f t="shared" si="0"/>
        <v>45276</v>
      </c>
      <c r="D9" s="3">
        <v>45280</v>
      </c>
      <c r="E9" s="3" t="str">
        <f t="shared" si="1"/>
        <v>Due</v>
      </c>
    </row>
    <row r="10" spans="1:8" x14ac:dyDescent="0.25">
      <c r="A10" s="2">
        <v>329</v>
      </c>
      <c r="B10" s="3">
        <v>45279</v>
      </c>
      <c r="C10" s="3">
        <f t="shared" si="0"/>
        <v>45309</v>
      </c>
      <c r="D10" s="3">
        <v>45280</v>
      </c>
      <c r="E10" s="3" t="str">
        <f t="shared" si="1"/>
        <v>Pending</v>
      </c>
    </row>
    <row r="11" spans="1:8" x14ac:dyDescent="0.25">
      <c r="A11" s="2">
        <v>330</v>
      </c>
      <c r="B11" s="3">
        <v>45213</v>
      </c>
      <c r="C11" s="3">
        <f t="shared" si="0"/>
        <v>45243</v>
      </c>
      <c r="D11" s="3">
        <v>45280</v>
      </c>
      <c r="E11" s="3" t="str">
        <f t="shared" si="1"/>
        <v>Over Due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 function</vt:lpstr>
      <vt:lpstr>datedif</vt:lpstr>
      <vt:lpstr>payment aging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2024-02-19T01:30:06Z</dcterms:created>
  <dcterms:modified xsi:type="dcterms:W3CDTF">2024-02-19T15:42:54Z</dcterms:modified>
</cp:coreProperties>
</file>