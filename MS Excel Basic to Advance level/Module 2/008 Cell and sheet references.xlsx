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360" yWindow="300" windowWidth="14895" windowHeight="7875"/>
  </bookViews>
  <sheets>
    <sheet name="Cell references" sheetId="13" r:id="rId1"/>
    <sheet name="jan" sheetId="1" r:id="rId2"/>
    <sheet name="feb" sheetId="2" r:id="rId3"/>
    <sheet name="mar" sheetId="4" r:id="rId4"/>
    <sheet name="Total sales" sheetId="5" r:id="rId5"/>
    <sheet name="Sheet1" sheetId="12" r:id="rId6"/>
    <sheet name="JULY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aaaaa">#REF!</definedName>
    <definedName name="ABC">Sheet1!$B$4</definedName>
    <definedName name="amarks">#REF!</definedName>
    <definedName name="CGST">Sheet1!$B$1</definedName>
    <definedName name="cost">[2]Sheet22!$D$4</definedName>
    <definedName name="criteria1">'[3]Advance filter'!#REF!</definedName>
    <definedName name="E.Cess">Sheet1!$B$5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 localSheetId="0">#REF!</definedName>
    <definedName name="Laptop_price">'Total sales'!$C$12</definedName>
    <definedName name="Laptop_qty" localSheetId="0">#REF!</definedName>
    <definedName name="Laptop_qty">'Total sales'!$C$11</definedName>
    <definedName name="laptopprice">#REF!</definedName>
    <definedName name="marks_list">'[7]Define name'!$G$10:$G$14</definedName>
    <definedName name="marks_list1">#REF!</definedName>
    <definedName name="markslist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SGST">Sheet1!$B$2</definedName>
    <definedName name="total_sales">'Total sales'!$C$2:$C$6</definedName>
    <definedName name="totaltax">'[8]relative cell reference'!#REF!</definedName>
    <definedName name="TRP">Sheet1!$B$3</definedName>
  </definedNames>
  <calcPr calcId="152511"/>
</workbook>
</file>

<file path=xl/calcChain.xml><?xml version="1.0" encoding="utf-8"?>
<calcChain xmlns="http://schemas.openxmlformats.org/spreadsheetml/2006/main">
  <c r="D2" i="13" l="1"/>
  <c r="E2" i="13"/>
  <c r="D3" i="13"/>
  <c r="E3" i="13"/>
  <c r="D4" i="13"/>
  <c r="E4" i="13"/>
  <c r="D5" i="13"/>
  <c r="E5" i="13"/>
  <c r="D6" i="13"/>
  <c r="E6" i="13"/>
  <c r="C2" i="5" l="1"/>
  <c r="C3" i="5"/>
  <c r="C4" i="5"/>
  <c r="C5" i="5"/>
  <c r="C6" i="5"/>
  <c r="D26" i="11" l="1"/>
  <c r="D25" i="11"/>
  <c r="D24" i="11"/>
  <c r="C16" i="5"/>
  <c r="C14" i="5"/>
  <c r="C8" i="5"/>
  <c r="C31" i="5" l="1"/>
</calcChain>
</file>

<file path=xl/sharedStrings.xml><?xml version="1.0" encoding="utf-8"?>
<sst xmlns="http://schemas.openxmlformats.org/spreadsheetml/2006/main" count="64" uniqueCount="23">
  <si>
    <t>SL NO</t>
  </si>
  <si>
    <t>Product Name</t>
  </si>
  <si>
    <t>Price</t>
  </si>
  <si>
    <t>Nokia</t>
  </si>
  <si>
    <t>Samsung</t>
  </si>
  <si>
    <t>Micromax</t>
  </si>
  <si>
    <t>Lenova</t>
  </si>
  <si>
    <t>Motorola</t>
  </si>
  <si>
    <t>Jan</t>
  </si>
  <si>
    <t>Feb</t>
  </si>
  <si>
    <t>Mar</t>
  </si>
  <si>
    <t>Total</t>
  </si>
  <si>
    <t>=SUM(jan:mar!C2)</t>
  </si>
  <si>
    <t>Laptop qty</t>
  </si>
  <si>
    <t>CGST</t>
  </si>
  <si>
    <t>SGST</t>
  </si>
  <si>
    <t>TRP</t>
  </si>
  <si>
    <t>ABC</t>
  </si>
  <si>
    <t>E.Cess</t>
  </si>
  <si>
    <t>cost</t>
  </si>
  <si>
    <t>Ecess</t>
  </si>
  <si>
    <t>GST</t>
  </si>
  <si>
    <t>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</si>
</sst>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1" xfId="0" quotePrefix="1" applyFont="1" applyBorder="1"/>
    <xf numFmtId="0" fontId="1" fillId="0" borderId="0" xfId="0" quotePrefix="1" applyFont="1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2" fontId="1" fillId="0" borderId="1" xfId="0" quotePrefix="1" applyNumberFormat="1" applyFont="1" applyBorder="1"/>
    <xf numFmtId="9" fontId="1" fillId="0" borderId="0" xfId="0" applyNumberFormat="1" applyFo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IF function"/>
      <sheetName val="salary statement"/>
      <sheetName val="vlookup"/>
      <sheetName val="vlookup2"/>
      <sheetName val="Sheet5"/>
      <sheetName val="Sheet6"/>
      <sheetName val="Sheet7"/>
      <sheetName val="Sheet9"/>
      <sheetName val="Sheet10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8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175" zoomScaleNormal="175" workbookViewId="0">
      <selection activeCell="D2" sqref="D2"/>
    </sheetView>
  </sheetViews>
  <sheetFormatPr defaultRowHeight="15" x14ac:dyDescent="0.25"/>
  <cols>
    <col min="2" max="2" width="13.7109375" bestFit="1" customWidth="1"/>
    <col min="4" max="4" width="1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11</v>
      </c>
      <c r="G1" s="10" t="s">
        <v>21</v>
      </c>
      <c r="H1" s="9">
        <v>0.18</v>
      </c>
    </row>
    <row r="2" spans="1:8" x14ac:dyDescent="0.25">
      <c r="A2" s="1">
        <v>1</v>
      </c>
      <c r="B2" s="1" t="s">
        <v>3</v>
      </c>
      <c r="C2" s="1">
        <v>14500</v>
      </c>
      <c r="D2" s="3">
        <f>C2*$H$1</f>
        <v>2610</v>
      </c>
      <c r="E2" s="8">
        <f>C2+D2</f>
        <v>17110</v>
      </c>
    </row>
    <row r="3" spans="1:8" x14ac:dyDescent="0.25">
      <c r="A3" s="1">
        <v>2</v>
      </c>
      <c r="B3" s="1" t="s">
        <v>4</v>
      </c>
      <c r="C3" s="1">
        <v>68500</v>
      </c>
      <c r="D3" s="3">
        <f>C3*$H$1</f>
        <v>12330</v>
      </c>
      <c r="E3" s="8">
        <f>C3+D3</f>
        <v>80830</v>
      </c>
    </row>
    <row r="4" spans="1:8" x14ac:dyDescent="0.25">
      <c r="A4" s="1">
        <v>3</v>
      </c>
      <c r="B4" s="1" t="s">
        <v>5</v>
      </c>
      <c r="C4" s="1">
        <v>18800</v>
      </c>
      <c r="D4" s="3">
        <f>C4*$H$1</f>
        <v>3384</v>
      </c>
      <c r="E4" s="8">
        <f>C4+D4</f>
        <v>22184</v>
      </c>
    </row>
    <row r="5" spans="1:8" x14ac:dyDescent="0.25">
      <c r="A5" s="1">
        <v>4</v>
      </c>
      <c r="B5" s="1" t="s">
        <v>6</v>
      </c>
      <c r="C5" s="1">
        <v>9670</v>
      </c>
      <c r="D5" s="3">
        <f>C5*$H$1</f>
        <v>1740.6</v>
      </c>
      <c r="E5" s="8">
        <f>C5+D5</f>
        <v>11410.6</v>
      </c>
    </row>
    <row r="6" spans="1:8" x14ac:dyDescent="0.25">
      <c r="A6" s="2">
        <v>5</v>
      </c>
      <c r="B6" s="1" t="s">
        <v>7</v>
      </c>
      <c r="C6" s="1">
        <v>8450</v>
      </c>
      <c r="D6" s="3">
        <f>C6*$H$1</f>
        <v>1521</v>
      </c>
      <c r="E6" s="8">
        <f>C6+D6</f>
        <v>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2"/>
  <sheetViews>
    <sheetView zoomScale="235" zoomScaleNormal="235" workbookViewId="0">
      <selection activeCell="C2" sqref="C2"/>
    </sheetView>
  </sheetViews>
  <sheetFormatPr defaultRowHeight="15" x14ac:dyDescent="0.25"/>
  <cols>
    <col min="2" max="2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1">
        <v>1</v>
      </c>
      <c r="B2" s="1" t="s">
        <v>3</v>
      </c>
      <c r="C2" s="1">
        <v>500</v>
      </c>
    </row>
    <row r="3" spans="1:3" x14ac:dyDescent="0.25">
      <c r="A3" s="1">
        <v>2</v>
      </c>
      <c r="B3" s="1" t="s">
        <v>4</v>
      </c>
      <c r="C3" s="1">
        <v>68500</v>
      </c>
    </row>
    <row r="4" spans="1:3" x14ac:dyDescent="0.25">
      <c r="A4" s="1">
        <v>3</v>
      </c>
      <c r="B4" s="1" t="s">
        <v>5</v>
      </c>
      <c r="C4" s="1">
        <v>4800</v>
      </c>
    </row>
    <row r="5" spans="1:3" x14ac:dyDescent="0.25">
      <c r="A5" s="1">
        <v>4</v>
      </c>
      <c r="B5" s="1" t="s">
        <v>6</v>
      </c>
      <c r="C5" s="1">
        <v>8450</v>
      </c>
    </row>
    <row r="6" spans="1:3" x14ac:dyDescent="0.25">
      <c r="A6" s="2">
        <v>5</v>
      </c>
      <c r="B6" s="1" t="s">
        <v>7</v>
      </c>
      <c r="C6" s="1">
        <v>8450</v>
      </c>
    </row>
    <row r="12" spans="1:3" x14ac:dyDescent="0.25">
      <c r="A1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12"/>
  <sheetViews>
    <sheetView zoomScale="235" zoomScaleNormal="235" workbookViewId="0">
      <selection activeCell="D2" sqref="D2"/>
    </sheetView>
  </sheetViews>
  <sheetFormatPr defaultRowHeight="15" x14ac:dyDescent="0.25"/>
  <cols>
    <col min="2" max="2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 s="1">
        <v>1</v>
      </c>
      <c r="B2" s="1" t="s">
        <v>3</v>
      </c>
      <c r="C2" s="1">
        <v>300</v>
      </c>
    </row>
    <row r="3" spans="1:3" x14ac:dyDescent="0.25">
      <c r="A3" s="1">
        <v>2</v>
      </c>
      <c r="B3" s="1" t="s">
        <v>4</v>
      </c>
      <c r="C3" s="1">
        <v>7500</v>
      </c>
    </row>
    <row r="4" spans="1:3" x14ac:dyDescent="0.25">
      <c r="A4" s="1">
        <v>3</v>
      </c>
      <c r="B4" s="1" t="s">
        <v>5</v>
      </c>
      <c r="C4" s="1">
        <v>8500</v>
      </c>
    </row>
    <row r="5" spans="1:3" x14ac:dyDescent="0.25">
      <c r="A5" s="1">
        <v>4</v>
      </c>
      <c r="B5" s="1" t="s">
        <v>6</v>
      </c>
      <c r="C5" s="1">
        <v>4500</v>
      </c>
    </row>
    <row r="6" spans="1:3" x14ac:dyDescent="0.25">
      <c r="A6" s="2">
        <v>5</v>
      </c>
      <c r="B6" s="1" t="s">
        <v>7</v>
      </c>
      <c r="C6" s="1">
        <v>9500</v>
      </c>
    </row>
    <row r="12" spans="1:3" x14ac:dyDescent="0.25">
      <c r="B1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6"/>
  <sheetViews>
    <sheetView zoomScale="220" zoomScaleNormal="220" workbookViewId="0">
      <selection activeCell="C2" sqref="C2"/>
    </sheetView>
  </sheetViews>
  <sheetFormatPr defaultRowHeight="15" x14ac:dyDescent="0.25"/>
  <cols>
    <col min="2" max="2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10</v>
      </c>
    </row>
    <row r="2" spans="1:3" x14ac:dyDescent="0.25">
      <c r="A2" s="1">
        <v>1</v>
      </c>
      <c r="B2" s="1" t="s">
        <v>3</v>
      </c>
      <c r="C2" s="1">
        <v>250</v>
      </c>
    </row>
    <row r="3" spans="1:3" x14ac:dyDescent="0.25">
      <c r="A3" s="1">
        <v>2</v>
      </c>
      <c r="B3" s="1" t="s">
        <v>4</v>
      </c>
      <c r="C3" s="1">
        <v>2500</v>
      </c>
    </row>
    <row r="4" spans="1:3" x14ac:dyDescent="0.25">
      <c r="A4" s="1">
        <v>3</v>
      </c>
      <c r="B4" s="1" t="s">
        <v>5</v>
      </c>
      <c r="C4" s="1">
        <v>6500</v>
      </c>
    </row>
    <row r="5" spans="1:3" x14ac:dyDescent="0.25">
      <c r="A5" s="1">
        <v>4</v>
      </c>
      <c r="B5" s="1" t="s">
        <v>6</v>
      </c>
      <c r="C5" s="1">
        <v>1420</v>
      </c>
    </row>
    <row r="6" spans="1:3" x14ac:dyDescent="0.25">
      <c r="A6" s="2">
        <v>5</v>
      </c>
      <c r="B6" s="1" t="s">
        <v>7</v>
      </c>
      <c r="C6" s="1">
        <v>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zoomScale="205" zoomScaleNormal="205" workbookViewId="0">
      <selection activeCell="C8" sqref="C8"/>
    </sheetView>
  </sheetViews>
  <sheetFormatPr defaultRowHeight="15" x14ac:dyDescent="0.25"/>
  <cols>
    <col min="2" max="2" width="13.5703125" bestFit="1" customWidth="1"/>
    <col min="3" max="3" width="22.140625" bestFit="1" customWidth="1"/>
    <col min="4" max="4" width="17.28515625" bestFit="1" customWidth="1"/>
  </cols>
  <sheetData>
    <row r="1" spans="1:5" x14ac:dyDescent="0.25">
      <c r="A1" s="1" t="s">
        <v>0</v>
      </c>
      <c r="B1" s="1" t="s">
        <v>1</v>
      </c>
      <c r="C1" s="1" t="s">
        <v>11</v>
      </c>
    </row>
    <row r="2" spans="1:5" x14ac:dyDescent="0.25">
      <c r="A2" s="1">
        <v>1</v>
      </c>
      <c r="B2" s="1" t="s">
        <v>3</v>
      </c>
      <c r="C2" s="3">
        <f>jan!C2+feb!C2+mar!C2</f>
        <v>1050</v>
      </c>
      <c r="D2" s="4" t="s">
        <v>12</v>
      </c>
    </row>
    <row r="3" spans="1:5" x14ac:dyDescent="0.25">
      <c r="A3" s="1">
        <v>2</v>
      </c>
      <c r="B3" s="1" t="s">
        <v>4</v>
      </c>
      <c r="C3" s="3">
        <f>jan!C3+feb!C3+mar!C3</f>
        <v>78500</v>
      </c>
    </row>
    <row r="4" spans="1:5" x14ac:dyDescent="0.25">
      <c r="A4" s="1">
        <v>3</v>
      </c>
      <c r="B4" s="1" t="s">
        <v>5</v>
      </c>
      <c r="C4" s="3">
        <f>jan!C4+feb!C4+mar!C4</f>
        <v>19800</v>
      </c>
    </row>
    <row r="5" spans="1:5" x14ac:dyDescent="0.25">
      <c r="A5" s="1">
        <v>4</v>
      </c>
      <c r="B5" s="1" t="s">
        <v>6</v>
      </c>
      <c r="C5" s="3">
        <f>jan!C5+feb!C5+mar!C5</f>
        <v>14370</v>
      </c>
    </row>
    <row r="6" spans="1:5" x14ac:dyDescent="0.25">
      <c r="A6" s="2">
        <v>5</v>
      </c>
      <c r="B6" s="1" t="s">
        <v>7</v>
      </c>
      <c r="C6" s="3">
        <f>jan!C6+feb!C6+mar!C6</f>
        <v>22450</v>
      </c>
    </row>
    <row r="7" spans="1:5" x14ac:dyDescent="0.25">
      <c r="E7">
        <v>10</v>
      </c>
    </row>
    <row r="8" spans="1:5" x14ac:dyDescent="0.25">
      <c r="C8">
        <f>SUM(total_sales)</f>
        <v>136170</v>
      </c>
      <c r="E8">
        <v>20</v>
      </c>
    </row>
    <row r="9" spans="1:5" x14ac:dyDescent="0.25">
      <c r="E9">
        <v>30</v>
      </c>
    </row>
    <row r="11" spans="1:5" x14ac:dyDescent="0.25">
      <c r="B11" s="5" t="s">
        <v>13</v>
      </c>
      <c r="C11" s="5">
        <v>5</v>
      </c>
    </row>
    <row r="12" spans="1:5" x14ac:dyDescent="0.25">
      <c r="B12" s="5" t="s">
        <v>2</v>
      </c>
      <c r="C12" s="5">
        <v>15400</v>
      </c>
    </row>
    <row r="13" spans="1:5" x14ac:dyDescent="0.25">
      <c r="B13" s="5"/>
      <c r="C13" s="5"/>
    </row>
    <row r="14" spans="1:5" x14ac:dyDescent="0.25">
      <c r="B14" s="5" t="s">
        <v>11</v>
      </c>
      <c r="C14" s="5">
        <f>C11*C12</f>
        <v>77000</v>
      </c>
    </row>
    <row r="16" spans="1:5" x14ac:dyDescent="0.25">
      <c r="C16" s="5">
        <f>Laptop_qty*Laptop_price</f>
        <v>77000</v>
      </c>
    </row>
    <row r="26" spans="3:3" x14ac:dyDescent="0.25">
      <c r="C26">
        <v>100</v>
      </c>
    </row>
    <row r="28" spans="3:3" x14ac:dyDescent="0.25">
      <c r="C28">
        <v>200</v>
      </c>
    </row>
    <row r="31" spans="3:3" x14ac:dyDescent="0.25">
      <c r="C31">
        <f>C26+C28</f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235" zoomScaleNormal="235" workbookViewId="0">
      <selection activeCell="B1" sqref="B1"/>
    </sheetView>
  </sheetViews>
  <sheetFormatPr defaultRowHeight="15" x14ac:dyDescent="0.25"/>
  <sheetData>
    <row r="1" spans="1:2" x14ac:dyDescent="0.25">
      <c r="A1" t="s">
        <v>14</v>
      </c>
      <c r="B1" s="6">
        <v>0.125</v>
      </c>
    </row>
    <row r="2" spans="1:2" x14ac:dyDescent="0.25">
      <c r="A2" t="s">
        <v>15</v>
      </c>
      <c r="B2" s="6">
        <v>0.125</v>
      </c>
    </row>
    <row r="3" spans="1:2" x14ac:dyDescent="0.25">
      <c r="A3" t="s">
        <v>16</v>
      </c>
      <c r="B3" s="7">
        <v>0.02</v>
      </c>
    </row>
    <row r="4" spans="1:2" x14ac:dyDescent="0.25">
      <c r="A4" t="s">
        <v>17</v>
      </c>
      <c r="B4" s="7">
        <v>0.05</v>
      </c>
    </row>
    <row r="5" spans="1:2" x14ac:dyDescent="0.25">
      <c r="A5" t="s">
        <v>18</v>
      </c>
      <c r="B5" s="6">
        <v>1.4999999999999999E-2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opLeftCell="A20" zoomScale="175" zoomScaleNormal="175" workbookViewId="0">
      <selection activeCell="C26" sqref="C26"/>
    </sheetView>
  </sheetViews>
  <sheetFormatPr defaultRowHeight="15" x14ac:dyDescent="0.25"/>
  <cols>
    <col min="2" max="2" width="13.5703125" bestFit="1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1">
        <v>1</v>
      </c>
      <c r="B2" s="1" t="s">
        <v>3</v>
      </c>
      <c r="C2" s="1">
        <v>4500</v>
      </c>
    </row>
    <row r="3" spans="1:3" x14ac:dyDescent="0.25">
      <c r="A3" s="1">
        <v>2</v>
      </c>
      <c r="B3" s="1" t="s">
        <v>4</v>
      </c>
      <c r="C3" s="1">
        <v>68500</v>
      </c>
    </row>
    <row r="4" spans="1:3" x14ac:dyDescent="0.25">
      <c r="A4" s="1">
        <v>3</v>
      </c>
      <c r="B4" s="1" t="s">
        <v>5</v>
      </c>
      <c r="C4" s="1">
        <v>4800</v>
      </c>
    </row>
    <row r="5" spans="1:3" x14ac:dyDescent="0.25">
      <c r="A5" s="1">
        <v>4</v>
      </c>
      <c r="B5" s="1" t="s">
        <v>6</v>
      </c>
      <c r="C5" s="1">
        <v>8450</v>
      </c>
    </row>
    <row r="6" spans="1:3" x14ac:dyDescent="0.25">
      <c r="A6" s="2">
        <v>5</v>
      </c>
      <c r="B6" s="1" t="s">
        <v>7</v>
      </c>
      <c r="C6" s="1">
        <v>8450</v>
      </c>
    </row>
    <row r="22" spans="3:5" x14ac:dyDescent="0.25">
      <c r="C22" s="5" t="s">
        <v>19</v>
      </c>
      <c r="D22" s="5">
        <v>25000</v>
      </c>
      <c r="E22" s="5"/>
    </row>
    <row r="23" spans="3:5" x14ac:dyDescent="0.25">
      <c r="C23" s="5"/>
      <c r="D23" s="5"/>
      <c r="E23" s="5"/>
    </row>
    <row r="24" spans="3:5" x14ac:dyDescent="0.25">
      <c r="C24" s="5" t="s">
        <v>14</v>
      </c>
      <c r="D24" s="5">
        <f>D22*CGST</f>
        <v>3125</v>
      </c>
      <c r="E24" s="5"/>
    </row>
    <row r="25" spans="3:5" x14ac:dyDescent="0.25">
      <c r="C25" s="5" t="s">
        <v>15</v>
      </c>
      <c r="D25" s="5">
        <f>D22*SGST</f>
        <v>3125</v>
      </c>
      <c r="E25" s="5"/>
    </row>
    <row r="26" spans="3:5" x14ac:dyDescent="0.25">
      <c r="C26" s="5" t="s">
        <v>20</v>
      </c>
      <c r="D26">
        <f>D22*E.Cess</f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Cell references</vt:lpstr>
      <vt:lpstr>jan</vt:lpstr>
      <vt:lpstr>feb</vt:lpstr>
      <vt:lpstr>mar</vt:lpstr>
      <vt:lpstr>Total sales</vt:lpstr>
      <vt:lpstr>Sheet1</vt:lpstr>
      <vt:lpstr>JULY</vt:lpstr>
      <vt:lpstr>ABC</vt:lpstr>
      <vt:lpstr>CGST</vt:lpstr>
      <vt:lpstr>E.Cess</vt:lpstr>
      <vt:lpstr>Laptop_price</vt:lpstr>
      <vt:lpstr>Laptop_qty</vt:lpstr>
      <vt:lpstr>SGST</vt:lpstr>
      <vt:lpstr>total_sales</vt:lpstr>
      <vt:lpstr>TRP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</dc:creator>
  <cp:lastModifiedBy>DELL</cp:lastModifiedBy>
  <dcterms:created xsi:type="dcterms:W3CDTF">2017-04-25T14:09:57Z</dcterms:created>
  <dcterms:modified xsi:type="dcterms:W3CDTF">2024-01-30T09:47:23Z</dcterms:modified>
</cp:coreProperties>
</file>