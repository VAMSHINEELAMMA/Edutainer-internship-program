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heet1" sheetId="1" r:id="rId1"/>
    <sheet name="Sheet2" sheetId="2" r:id="rId2"/>
    <sheet name="Formulas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aaaa">#REF!</definedName>
    <definedName name="amarks">#REF!</definedName>
    <definedName name="cost">[1]Sheet22!$D$4</definedName>
    <definedName name="criteria1">'[2]Advance filter'!#REF!</definedName>
    <definedName name="Employee_ID">"sheet34!a1:a10"</definedName>
    <definedName name="etype">'[3]Data validation'!$G$29:$G$31</definedName>
    <definedName name="GST">'[4]Cell references'!$H$18</definedName>
    <definedName name="lap_price">'[5]Financial functions'!$B$114</definedName>
    <definedName name="lap_price2">#REF!</definedName>
    <definedName name="lap_qty">'[5]Financial functions'!$B$115</definedName>
    <definedName name="laptop_price">#REF!</definedName>
    <definedName name="Laptop_qty">#REF!</definedName>
    <definedName name="laptopprice">#REF!</definedName>
    <definedName name="marks_list">'[6]Define name'!$G$10:$G$14</definedName>
    <definedName name="marks_list1">#REF!</definedName>
    <definedName name="markslist">#REF!</definedName>
    <definedName name="mobileprice">'[7]relative cell reference'!#REF!</definedName>
    <definedName name="PF">[7]Sheet15!$B$3</definedName>
    <definedName name="Price">'[7]relative cell reference'!#REF!</definedName>
    <definedName name="qty">[1]Sheet22!$D$5</definedName>
    <definedName name="quantity">'[7]relative cell reference'!#REF!</definedName>
    <definedName name="salary">[1]Sheet22!$F$2:$F$6</definedName>
    <definedName name="salesvalue">[8]Sheet25!$E$3:$E$10</definedName>
    <definedName name="totaltax">'[7]relative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B3" i="3"/>
  <c r="B6" i="3"/>
  <c r="D6" i="3"/>
  <c r="D12" i="3"/>
  <c r="G12" i="3"/>
  <c r="G14" i="3"/>
  <c r="G16" i="3"/>
  <c r="E22" i="3"/>
  <c r="G27" i="3"/>
  <c r="C30" i="3"/>
  <c r="G30" i="3"/>
  <c r="C31" i="3"/>
  <c r="G31" i="3"/>
  <c r="C32" i="3"/>
  <c r="C33" i="3"/>
  <c r="C35" i="3"/>
  <c r="D35" i="3"/>
  <c r="E35" i="3"/>
  <c r="C36" i="3"/>
  <c r="D36" i="3"/>
  <c r="E36" i="3"/>
</calcChain>
</file>

<file path=xl/sharedStrings.xml><?xml version="1.0" encoding="utf-8"?>
<sst xmlns="http://schemas.openxmlformats.org/spreadsheetml/2006/main" count="79" uniqueCount="52">
  <si>
    <t>Naveen M N</t>
  </si>
  <si>
    <t>E002</t>
  </si>
  <si>
    <t>Vinay kumar</t>
  </si>
  <si>
    <t>E001</t>
  </si>
  <si>
    <t>Emp Name</t>
  </si>
  <si>
    <t>Emp Num</t>
  </si>
  <si>
    <t>Managalore</t>
  </si>
  <si>
    <t>Bengaluru</t>
  </si>
  <si>
    <t>Address</t>
  </si>
  <si>
    <t>City</t>
  </si>
  <si>
    <t>Salary</t>
  </si>
  <si>
    <t>Mysuru</t>
  </si>
  <si>
    <t>December</t>
  </si>
  <si>
    <t>Dec</t>
  </si>
  <si>
    <t>November</t>
  </si>
  <si>
    <t>Nov</t>
  </si>
  <si>
    <t>October</t>
  </si>
  <si>
    <t>Oct</t>
  </si>
  <si>
    <t>September</t>
  </si>
  <si>
    <t>Sep</t>
  </si>
  <si>
    <t>August</t>
  </si>
  <si>
    <t>Aug</t>
  </si>
  <si>
    <t>July</t>
  </si>
  <si>
    <t>Sunday</t>
  </si>
  <si>
    <t>Jul</t>
  </si>
  <si>
    <t>June</t>
  </si>
  <si>
    <t>Saturday</t>
  </si>
  <si>
    <t>Jun</t>
  </si>
  <si>
    <t>May</t>
  </si>
  <si>
    <t>Friday</t>
  </si>
  <si>
    <t>April</t>
  </si>
  <si>
    <t>Thursday</t>
  </si>
  <si>
    <t>Apr</t>
  </si>
  <si>
    <t>March</t>
  </si>
  <si>
    <t>Wednesday</t>
  </si>
  <si>
    <t>Mar</t>
  </si>
  <si>
    <t>February</t>
  </si>
  <si>
    <t>Tuesday</t>
  </si>
  <si>
    <t>Feb</t>
  </si>
  <si>
    <t>January</t>
  </si>
  <si>
    <t>Monday</t>
  </si>
  <si>
    <t>Jan</t>
  </si>
  <si>
    <t>Floor</t>
  </si>
  <si>
    <t>Ceiling</t>
  </si>
  <si>
    <t>Values</t>
  </si>
  <si>
    <t>Grand total</t>
  </si>
  <si>
    <t>Discount 10%</t>
  </si>
  <si>
    <t>Total</t>
  </si>
  <si>
    <t>price</t>
  </si>
  <si>
    <t>Price</t>
  </si>
  <si>
    <t>product qty</t>
  </si>
  <si>
    <t>Product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</si>
</sst>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="145" zoomScaleNormal="145" workbookViewId="0"/>
  </sheetViews>
  <sheetFormatPr defaultRowHeight="15" x14ac:dyDescent="0.25"/>
  <cols>
    <col min="1" max="1" width="11.140625" customWidth="1"/>
    <col min="2" max="2" width="14.7109375" customWidth="1"/>
    <col min="3" max="3" width="10.85546875" customWidth="1"/>
    <col min="4" max="4" width="9.7109375" customWidth="1"/>
    <col min="5" max="5" width="10.42578125" customWidth="1"/>
  </cols>
  <sheetData>
    <row r="1" spans="1:5" x14ac:dyDescent="0.25">
      <c r="C1" t="s">
        <v>10</v>
      </c>
      <c r="D1" t="s">
        <v>9</v>
      </c>
      <c r="E1" t="s">
        <v>8</v>
      </c>
    </row>
    <row r="2" spans="1:5" x14ac:dyDescent="0.25">
      <c r="C2">
        <v>15200</v>
      </c>
      <c r="D2" t="s">
        <v>7</v>
      </c>
    </row>
    <row r="3" spans="1:5" x14ac:dyDescent="0.25">
      <c r="C3">
        <v>18600</v>
      </c>
      <c r="D3" t="s">
        <v>6</v>
      </c>
    </row>
    <row r="9" spans="1:5" x14ac:dyDescent="0.25">
      <c r="A9" t="s">
        <v>5</v>
      </c>
      <c r="B9" t="s">
        <v>4</v>
      </c>
      <c r="D9" t="s">
        <v>5</v>
      </c>
      <c r="E9" t="s">
        <v>4</v>
      </c>
    </row>
    <row r="10" spans="1:5" x14ac:dyDescent="0.25">
      <c r="A10" t="s">
        <v>3</v>
      </c>
      <c r="B10" t="s">
        <v>2</v>
      </c>
      <c r="D10" t="s">
        <v>3</v>
      </c>
      <c r="E10" t="s">
        <v>2</v>
      </c>
    </row>
    <row r="11" spans="1:5" x14ac:dyDescent="0.25">
      <c r="A11" t="s">
        <v>1</v>
      </c>
      <c r="B11" t="s">
        <v>0</v>
      </c>
      <c r="D11" t="s">
        <v>1</v>
      </c>
      <c r="E11" t="s">
        <v>0</v>
      </c>
    </row>
    <row r="15" spans="1:5" x14ac:dyDescent="0.25">
      <c r="A15" t="s">
        <v>5</v>
      </c>
      <c r="B15" t="s">
        <v>4</v>
      </c>
    </row>
    <row r="16" spans="1:5" x14ac:dyDescent="0.25">
      <c r="A16" t="s">
        <v>3</v>
      </c>
      <c r="B16" t="s">
        <v>2</v>
      </c>
    </row>
    <row r="17" spans="1:2" x14ac:dyDescent="0.25">
      <c r="A17" t="s">
        <v>1</v>
      </c>
      <c r="B1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O19"/>
  <sheetViews>
    <sheetView topLeftCell="B4" zoomScale="115" zoomScaleNormal="115" workbookViewId="0">
      <selection activeCell="L18" sqref="L18"/>
    </sheetView>
  </sheetViews>
  <sheetFormatPr defaultRowHeight="15" x14ac:dyDescent="0.25"/>
  <cols>
    <col min="15" max="15" width="11.85546875" bestFit="1" customWidth="1"/>
  </cols>
  <sheetData>
    <row r="2" spans="4:15" x14ac:dyDescent="0.25">
      <c r="D2">
        <v>1</v>
      </c>
      <c r="F2">
        <v>1</v>
      </c>
      <c r="H2">
        <v>5</v>
      </c>
      <c r="J2" t="s">
        <v>11</v>
      </c>
      <c r="L2" t="s">
        <v>41</v>
      </c>
      <c r="M2" t="s">
        <v>40</v>
      </c>
      <c r="N2" t="s">
        <v>39</v>
      </c>
      <c r="O2" s="1">
        <v>45422</v>
      </c>
    </row>
    <row r="3" spans="4:15" x14ac:dyDescent="0.25">
      <c r="D3">
        <v>2</v>
      </c>
      <c r="F3">
        <v>3</v>
      </c>
      <c r="H3">
        <v>10</v>
      </c>
      <c r="J3" t="s">
        <v>11</v>
      </c>
      <c r="L3" t="s">
        <v>38</v>
      </c>
      <c r="M3" t="s">
        <v>37</v>
      </c>
      <c r="N3" t="s">
        <v>36</v>
      </c>
      <c r="O3" s="1">
        <v>45423</v>
      </c>
    </row>
    <row r="4" spans="4:15" x14ac:dyDescent="0.25">
      <c r="D4">
        <v>3</v>
      </c>
      <c r="F4">
        <v>5</v>
      </c>
      <c r="H4">
        <v>15</v>
      </c>
      <c r="J4" t="s">
        <v>11</v>
      </c>
      <c r="L4" t="s">
        <v>35</v>
      </c>
      <c r="M4" t="s">
        <v>34</v>
      </c>
      <c r="N4" t="s">
        <v>33</v>
      </c>
      <c r="O4" s="1">
        <v>45424</v>
      </c>
    </row>
    <row r="5" spans="4:15" x14ac:dyDescent="0.25">
      <c r="D5">
        <v>4</v>
      </c>
      <c r="F5">
        <v>7</v>
      </c>
      <c r="H5">
        <v>20</v>
      </c>
      <c r="J5" t="s">
        <v>11</v>
      </c>
      <c r="L5" t="s">
        <v>32</v>
      </c>
      <c r="M5" t="s">
        <v>31</v>
      </c>
      <c r="N5" t="s">
        <v>30</v>
      </c>
      <c r="O5" s="1">
        <v>45425</v>
      </c>
    </row>
    <row r="6" spans="4:15" x14ac:dyDescent="0.25">
      <c r="D6">
        <v>5</v>
      </c>
      <c r="F6">
        <v>9</v>
      </c>
      <c r="H6">
        <v>25</v>
      </c>
      <c r="J6" t="s">
        <v>11</v>
      </c>
      <c r="L6" t="s">
        <v>28</v>
      </c>
      <c r="M6" t="s">
        <v>29</v>
      </c>
      <c r="N6" t="s">
        <v>28</v>
      </c>
      <c r="O6" s="1">
        <v>45426</v>
      </c>
    </row>
    <row r="7" spans="4:15" x14ac:dyDescent="0.25">
      <c r="D7">
        <v>6</v>
      </c>
      <c r="F7">
        <v>11</v>
      </c>
      <c r="H7">
        <v>30</v>
      </c>
      <c r="J7" t="s">
        <v>11</v>
      </c>
      <c r="L7" t="s">
        <v>27</v>
      </c>
      <c r="M7" t="s">
        <v>26</v>
      </c>
      <c r="N7" t="s">
        <v>25</v>
      </c>
      <c r="O7" s="1">
        <v>45427</v>
      </c>
    </row>
    <row r="8" spans="4:15" x14ac:dyDescent="0.25">
      <c r="D8">
        <v>7</v>
      </c>
      <c r="F8">
        <v>13</v>
      </c>
      <c r="H8">
        <v>35</v>
      </c>
      <c r="J8" t="s">
        <v>11</v>
      </c>
      <c r="L8" t="s">
        <v>24</v>
      </c>
      <c r="M8" t="s">
        <v>23</v>
      </c>
      <c r="N8" t="s">
        <v>22</v>
      </c>
      <c r="O8" s="1">
        <v>45428</v>
      </c>
    </row>
    <row r="9" spans="4:15" x14ac:dyDescent="0.25">
      <c r="D9">
        <v>8</v>
      </c>
      <c r="F9">
        <v>15</v>
      </c>
      <c r="H9">
        <v>40</v>
      </c>
      <c r="J9" t="s">
        <v>11</v>
      </c>
      <c r="L9" t="s">
        <v>21</v>
      </c>
      <c r="N9" t="s">
        <v>20</v>
      </c>
      <c r="O9" s="1">
        <v>45429</v>
      </c>
    </row>
    <row r="10" spans="4:15" x14ac:dyDescent="0.25">
      <c r="D10">
        <v>9</v>
      </c>
      <c r="F10">
        <v>17</v>
      </c>
      <c r="H10">
        <v>45</v>
      </c>
      <c r="J10" t="s">
        <v>11</v>
      </c>
      <c r="L10" t="s">
        <v>19</v>
      </c>
      <c r="N10" t="s">
        <v>18</v>
      </c>
      <c r="O10" s="1">
        <v>45430</v>
      </c>
    </row>
    <row r="11" spans="4:15" x14ac:dyDescent="0.25">
      <c r="D11">
        <v>10</v>
      </c>
      <c r="F11">
        <v>19</v>
      </c>
      <c r="H11">
        <v>50</v>
      </c>
      <c r="J11" t="s">
        <v>11</v>
      </c>
      <c r="L11" t="s">
        <v>17</v>
      </c>
      <c r="N11" t="s">
        <v>16</v>
      </c>
      <c r="O11" s="1">
        <v>45431</v>
      </c>
    </row>
    <row r="12" spans="4:15" x14ac:dyDescent="0.25">
      <c r="D12">
        <v>11</v>
      </c>
      <c r="F12">
        <v>21</v>
      </c>
      <c r="H12">
        <v>55</v>
      </c>
      <c r="J12" t="s">
        <v>11</v>
      </c>
      <c r="L12" t="s">
        <v>15</v>
      </c>
      <c r="N12" t="s">
        <v>14</v>
      </c>
      <c r="O12" s="1">
        <v>45432</v>
      </c>
    </row>
    <row r="13" spans="4:15" x14ac:dyDescent="0.25">
      <c r="D13">
        <v>12</v>
      </c>
      <c r="F13">
        <v>23</v>
      </c>
      <c r="H13">
        <v>60</v>
      </c>
      <c r="J13" t="s">
        <v>11</v>
      </c>
      <c r="L13" t="s">
        <v>13</v>
      </c>
      <c r="N13" t="s">
        <v>12</v>
      </c>
      <c r="O13" s="1">
        <v>45433</v>
      </c>
    </row>
    <row r="14" spans="4:15" x14ac:dyDescent="0.25">
      <c r="D14">
        <v>13</v>
      </c>
      <c r="F14">
        <v>25</v>
      </c>
      <c r="H14">
        <v>65</v>
      </c>
      <c r="J14" t="s">
        <v>11</v>
      </c>
      <c r="O14" s="1">
        <v>45434</v>
      </c>
    </row>
    <row r="15" spans="4:15" x14ac:dyDescent="0.25">
      <c r="D15">
        <v>14</v>
      </c>
      <c r="F15">
        <v>27</v>
      </c>
      <c r="H15">
        <v>70</v>
      </c>
      <c r="J15" t="s">
        <v>11</v>
      </c>
      <c r="O15" s="1">
        <v>45435</v>
      </c>
    </row>
    <row r="16" spans="4:15" x14ac:dyDescent="0.25">
      <c r="D16">
        <v>15</v>
      </c>
      <c r="F16">
        <v>29</v>
      </c>
      <c r="H16">
        <v>75</v>
      </c>
      <c r="J16" t="s">
        <v>11</v>
      </c>
      <c r="O16" s="1">
        <v>45436</v>
      </c>
    </row>
    <row r="17" spans="15:15" x14ac:dyDescent="0.25">
      <c r="O17" s="1">
        <v>45437</v>
      </c>
    </row>
    <row r="18" spans="15:15" x14ac:dyDescent="0.25">
      <c r="O18" s="1">
        <v>45438</v>
      </c>
    </row>
    <row r="19" spans="15:15" x14ac:dyDescent="0.25">
      <c r="O19" s="1">
        <v>45439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zoomScale="175" zoomScaleNormal="175" workbookViewId="0">
      <selection activeCell="B6" sqref="B6"/>
    </sheetView>
  </sheetViews>
  <sheetFormatPr defaultRowHeight="15" x14ac:dyDescent="0.25"/>
  <cols>
    <col min="2" max="2" width="10" bestFit="1" customWidth="1"/>
    <col min="3" max="3" width="12.28515625" customWidth="1"/>
    <col min="6" max="6" width="12.42578125" customWidth="1"/>
  </cols>
  <sheetData>
    <row r="2" spans="2:7" x14ac:dyDescent="0.25">
      <c r="B2">
        <f>10+15</f>
        <v>25</v>
      </c>
    </row>
    <row r="3" spans="2:7" x14ac:dyDescent="0.25">
      <c r="B3">
        <f>12*5</f>
        <v>60</v>
      </c>
    </row>
    <row r="6" spans="2:7" x14ac:dyDescent="0.25">
      <c r="B6">
        <f>15-2</f>
        <v>13</v>
      </c>
      <c r="D6">
        <f>25/3</f>
        <v>8.3333333333333339</v>
      </c>
    </row>
    <row r="9" spans="2:7" x14ac:dyDescent="0.25">
      <c r="C9" t="s">
        <v>51</v>
      </c>
      <c r="D9">
        <v>25</v>
      </c>
      <c r="F9" t="s">
        <v>50</v>
      </c>
      <c r="G9">
        <v>40</v>
      </c>
    </row>
    <row r="10" spans="2:7" x14ac:dyDescent="0.25">
      <c r="C10" t="s">
        <v>49</v>
      </c>
      <c r="D10">
        <v>10</v>
      </c>
      <c r="F10" t="s">
        <v>48</v>
      </c>
      <c r="G10">
        <v>15</v>
      </c>
    </row>
    <row r="12" spans="2:7" x14ac:dyDescent="0.25">
      <c r="D12">
        <f>D9*D10</f>
        <v>250</v>
      </c>
      <c r="F12" t="s">
        <v>47</v>
      </c>
      <c r="G12">
        <f>G9*G10</f>
        <v>600</v>
      </c>
    </row>
    <row r="14" spans="2:7" x14ac:dyDescent="0.25">
      <c r="F14" t="s">
        <v>46</v>
      </c>
      <c r="G14" s="6">
        <f>G12*10%</f>
        <v>60</v>
      </c>
    </row>
    <row r="16" spans="2:7" x14ac:dyDescent="0.25">
      <c r="F16" t="s">
        <v>45</v>
      </c>
      <c r="G16">
        <f>G12-G14</f>
        <v>540</v>
      </c>
    </row>
    <row r="21" spans="2:7" x14ac:dyDescent="0.25">
      <c r="G21">
        <v>10</v>
      </c>
    </row>
    <row r="22" spans="2:7" x14ac:dyDescent="0.25">
      <c r="C22">
        <v>100</v>
      </c>
      <c r="E22" t="b">
        <f>C22&gt;C23</f>
        <v>0</v>
      </c>
      <c r="G22">
        <v>20</v>
      </c>
    </row>
    <row r="23" spans="2:7" x14ac:dyDescent="0.25">
      <c r="C23">
        <v>150</v>
      </c>
      <c r="G23">
        <v>30</v>
      </c>
    </row>
    <row r="24" spans="2:7" x14ac:dyDescent="0.25">
      <c r="G24">
        <v>40</v>
      </c>
    </row>
    <row r="25" spans="2:7" x14ac:dyDescent="0.25">
      <c r="G25">
        <v>50</v>
      </c>
    </row>
    <row r="27" spans="2:7" x14ac:dyDescent="0.25">
      <c r="G27">
        <f>SUM(G21:G25)</f>
        <v>150</v>
      </c>
    </row>
    <row r="29" spans="2:7" x14ac:dyDescent="0.25">
      <c r="B29" s="2" t="s">
        <v>44</v>
      </c>
    </row>
    <row r="30" spans="2:7" x14ac:dyDescent="0.25">
      <c r="B30" s="5">
        <v>35.365400000000001</v>
      </c>
      <c r="C30" s="3">
        <f>ROUND(B30,2)</f>
        <v>35.369999999999997</v>
      </c>
      <c r="F30" s="5">
        <v>35.365400000000001</v>
      </c>
      <c r="G30" s="4">
        <f>ROUNDUP(F30,0)</f>
        <v>36</v>
      </c>
    </row>
    <row r="31" spans="2:7" x14ac:dyDescent="0.25">
      <c r="B31" s="2">
        <v>25.3687</v>
      </c>
      <c r="C31" s="3">
        <f>ROUND(B31,0)</f>
        <v>25</v>
      </c>
      <c r="F31" s="2">
        <v>25.768699999999999</v>
      </c>
      <c r="G31" s="4">
        <f>ROUNDDOWN(F31,0)</f>
        <v>25</v>
      </c>
    </row>
    <row r="32" spans="2:7" x14ac:dyDescent="0.25">
      <c r="B32" s="2">
        <v>32.56</v>
      </c>
      <c r="C32" s="3">
        <f>ROUND(B32,1)</f>
        <v>32.6</v>
      </c>
      <c r="F32" s="2">
        <v>32.56</v>
      </c>
    </row>
    <row r="33" spans="1:6" x14ac:dyDescent="0.25">
      <c r="B33" s="2">
        <v>12.257999999999999</v>
      </c>
      <c r="C33" s="3">
        <f>ROUND(B33,2)</f>
        <v>12.26</v>
      </c>
      <c r="F33" s="2">
        <v>12.257999999999999</v>
      </c>
    </row>
    <row r="35" spans="1:6" x14ac:dyDescent="0.25">
      <c r="A35" t="s">
        <v>43</v>
      </c>
      <c r="B35" s="2">
        <v>12345</v>
      </c>
      <c r="C35">
        <f>CEILING(B35,100)</f>
        <v>12400</v>
      </c>
      <c r="D35">
        <f>CEILING(B35,50)</f>
        <v>12350</v>
      </c>
      <c r="E35">
        <f>CEILING(B35,10)</f>
        <v>12350</v>
      </c>
    </row>
    <row r="36" spans="1:6" x14ac:dyDescent="0.25">
      <c r="A36" t="s">
        <v>42</v>
      </c>
      <c r="B36" s="2">
        <v>12345</v>
      </c>
      <c r="C36">
        <f>FLOOR(B36,100)</f>
        <v>12300</v>
      </c>
      <c r="D36">
        <f>FLOOR(B36,50)</f>
        <v>12300</v>
      </c>
      <c r="E36">
        <f>FLOOR(B36,10)</f>
        <v>12340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Formulas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2024-01-30T06:16:39Z</dcterms:created>
  <dcterms:modified xsi:type="dcterms:W3CDTF">2024-01-30T06:44:41Z</dcterms:modified>
</cp:coreProperties>
</file>