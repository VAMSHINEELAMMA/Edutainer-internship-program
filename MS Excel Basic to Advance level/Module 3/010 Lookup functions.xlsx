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vlookup" sheetId="6" r:id="rId1"/>
    <sheet name="vlookup2" sheetId="1" r:id="rId2"/>
    <sheet name="Sheet6" sheetId="2" r:id="rId3"/>
    <sheet name="Sheet7" sheetId="3" r:id="rId4"/>
    <sheet name="Sheet9" sheetId="4" r:id="rId5"/>
    <sheet name="Sheet10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aaaaa" localSheetId="3">#REF!</definedName>
    <definedName name="aaaaaa">#REF!</definedName>
    <definedName name="amarks" localSheetId="3">#REF!</definedName>
    <definedName name="amarks">#REF!</definedName>
    <definedName name="cost">[2]Sheet22!$D$4</definedName>
    <definedName name="criteria1" localSheetId="3">'[3]Advance filter'!#REF!</definedName>
    <definedName name="criteria1">'[3]Advance filter'!#REF!</definedName>
    <definedName name="Employee_ID">"sheet34!a1:a10"</definedName>
    <definedName name="etype" localSheetId="0">'[10]Data validation'!$G$29:$G$31</definedName>
    <definedName name="etype">'[4]Data validation'!$G$29:$G$31</definedName>
    <definedName name="GST">'[5]Cell references'!$H$18</definedName>
    <definedName name="lap_price" localSheetId="0">#REF!</definedName>
    <definedName name="lap_price">'[6]Financial functions'!$B$114</definedName>
    <definedName name="lap_price2">#REF!</definedName>
    <definedName name="lap_qty" localSheetId="0">#REF!</definedName>
    <definedName name="lap_qty">'[6]Financial functions'!$B$115</definedName>
    <definedName name="laptop_price" localSheetId="3">#REF!</definedName>
    <definedName name="laptop_price">#REF!</definedName>
    <definedName name="Laptop_qty" localSheetId="3">#REF!</definedName>
    <definedName name="Laptop_qty">#REF!</definedName>
    <definedName name="laptopprice">#REF!</definedName>
    <definedName name="marks_list" localSheetId="0">#REF!</definedName>
    <definedName name="marks_list">'[7]Define name'!$G$10:$G$14</definedName>
    <definedName name="marks_list1" localSheetId="3">#REF!</definedName>
    <definedName name="marks_list1">#REF!</definedName>
    <definedName name="markslist">#REF!</definedName>
    <definedName name="mobileprice" localSheetId="3">'[8]relative cell reference'!#REF!</definedName>
    <definedName name="mobileprice">'[8]relative cell reference'!#REF!</definedName>
    <definedName name="PF">[8]Sheet15!$B$3</definedName>
    <definedName name="Price" localSheetId="3">'[8]relative cell reference'!#REF!</definedName>
    <definedName name="Price">'[8]relative cell reference'!#REF!</definedName>
    <definedName name="qty">[2]Sheet22!$D$5</definedName>
    <definedName name="quantity" localSheetId="3">'[8]relative cell reference'!#REF!</definedName>
    <definedName name="quantity">'[8]relative cell reference'!#REF!</definedName>
    <definedName name="salary">[2]Sheet22!$F$2:$F$6</definedName>
    <definedName name="salesvalue">[9]Sheet25!$E$3:$E$10</definedName>
    <definedName name="totaltax" localSheetId="3">'[8]relative cell reference'!#REF!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6" l="1"/>
  <c r="B13" i="6"/>
  <c r="B27" i="6"/>
  <c r="D2" i="4"/>
  <c r="D3" i="4"/>
  <c r="D4" i="4"/>
  <c r="D5" i="4"/>
  <c r="D6" i="4"/>
  <c r="D7" i="4"/>
  <c r="D8" i="4"/>
  <c r="D9" i="4"/>
  <c r="D10" i="4"/>
  <c r="D11" i="4"/>
  <c r="D2" i="2"/>
  <c r="E2" i="2"/>
  <c r="F2" i="2"/>
  <c r="D3" i="2"/>
  <c r="E3" i="2"/>
  <c r="F3" i="2"/>
  <c r="D4" i="2"/>
  <c r="E4" i="2"/>
  <c r="F4" i="2"/>
  <c r="D5" i="2"/>
  <c r="E5" i="2"/>
  <c r="F5" i="2"/>
  <c r="D6" i="2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/>
  <c r="D11" i="2"/>
  <c r="E11" i="2"/>
  <c r="F11" i="2"/>
  <c r="B22" i="2"/>
  <c r="B23" i="2"/>
  <c r="B25" i="2"/>
</calcChain>
</file>

<file path=xl/sharedStrings.xml><?xml version="1.0" encoding="utf-8"?>
<sst xmlns="http://schemas.openxmlformats.org/spreadsheetml/2006/main" count="360" uniqueCount="84">
  <si>
    <t>Kolkata</t>
  </si>
  <si>
    <t>Quality</t>
  </si>
  <si>
    <t>Permanent</t>
  </si>
  <si>
    <t>Imran</t>
  </si>
  <si>
    <t>A020</t>
  </si>
  <si>
    <t>Delhi</t>
  </si>
  <si>
    <t>Administration</t>
  </si>
  <si>
    <t>Contract</t>
  </si>
  <si>
    <t>Jaganath</t>
  </si>
  <si>
    <t>A019</t>
  </si>
  <si>
    <t>Mumbai</t>
  </si>
  <si>
    <t>Production</t>
  </si>
  <si>
    <t>Harish</t>
  </si>
  <si>
    <t>A018</t>
  </si>
  <si>
    <t>Chennai</t>
  </si>
  <si>
    <t>Sales</t>
  </si>
  <si>
    <t>Temporary</t>
  </si>
  <si>
    <t>Gautham</t>
  </si>
  <si>
    <t>A017</t>
  </si>
  <si>
    <t>Human Resource</t>
  </si>
  <si>
    <t>Chethan</t>
  </si>
  <si>
    <t>A016</t>
  </si>
  <si>
    <t>Training</t>
  </si>
  <si>
    <t>Ananth</t>
  </si>
  <si>
    <t>A015</t>
  </si>
  <si>
    <t>Bangalore</t>
  </si>
  <si>
    <t>Bharath</t>
  </si>
  <si>
    <t>A014</t>
  </si>
  <si>
    <t>Noida</t>
  </si>
  <si>
    <t>Lokesh</t>
  </si>
  <si>
    <t>A013</t>
  </si>
  <si>
    <t>Hyderabad</t>
  </si>
  <si>
    <t>Marketing</t>
  </si>
  <si>
    <t>Vasanth</t>
  </si>
  <si>
    <t>A012</t>
  </si>
  <si>
    <t>Kumar</t>
  </si>
  <si>
    <t>A011</t>
  </si>
  <si>
    <t>Vivek</t>
  </si>
  <si>
    <t>A010</t>
  </si>
  <si>
    <t>Vizag</t>
  </si>
  <si>
    <t>Venkatesh</t>
  </si>
  <si>
    <t>A009</t>
  </si>
  <si>
    <t>Robin</t>
  </si>
  <si>
    <t>A008</t>
  </si>
  <si>
    <t>Mahesh</t>
  </si>
  <si>
    <t>A007</t>
  </si>
  <si>
    <t>Daya</t>
  </si>
  <si>
    <t>A006</t>
  </si>
  <si>
    <t>Ahmadabad</t>
  </si>
  <si>
    <t>Robert</t>
  </si>
  <si>
    <t>A005</t>
  </si>
  <si>
    <t>Sunitha</t>
  </si>
  <si>
    <t>A004</t>
  </si>
  <si>
    <t>Prasad</t>
  </si>
  <si>
    <t>A003</t>
  </si>
  <si>
    <t>Rajeev</t>
  </si>
  <si>
    <t>A002</t>
  </si>
  <si>
    <t>Vinaykumar</t>
  </si>
  <si>
    <t>A001</t>
  </si>
  <si>
    <t>CITY</t>
  </si>
  <si>
    <t>SALARY</t>
  </si>
  <si>
    <t>DEPARTMENT</t>
  </si>
  <si>
    <t>TYPE</t>
  </si>
  <si>
    <t>Name</t>
  </si>
  <si>
    <t>Employee ID</t>
  </si>
  <si>
    <t>Price</t>
  </si>
  <si>
    <t>Shanthinagara</t>
  </si>
  <si>
    <t>Vijayanagara 2nd Stage</t>
  </si>
  <si>
    <t>3rd main 2nd Cross Saraswathipuram</t>
  </si>
  <si>
    <t>1st Cross Kengeri</t>
  </si>
  <si>
    <t>3rd Corss HSR Layout</t>
  </si>
  <si>
    <t>1st Main Rajajinagara</t>
  </si>
  <si>
    <t>2nd Corss Jayanagara</t>
  </si>
  <si>
    <t>Address</t>
  </si>
  <si>
    <t>Shop Num</t>
  </si>
  <si>
    <t>Oppo</t>
  </si>
  <si>
    <t>Samsung G2</t>
  </si>
  <si>
    <t>Iphone</t>
  </si>
  <si>
    <t>Vivo V5</t>
  </si>
  <si>
    <t>Vivo</t>
  </si>
  <si>
    <t>Micromax Mobile</t>
  </si>
  <si>
    <t>Samsung mobile</t>
  </si>
  <si>
    <t>Product name</t>
  </si>
  <si>
    <t>Bill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</si>
</sst>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3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text functions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10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="160" zoomScaleNormal="160" workbookViewId="0"/>
  </sheetViews>
  <sheetFormatPr defaultRowHeight="15" x14ac:dyDescent="0.25"/>
  <cols>
    <col min="2" max="2" width="16.5703125" bestFit="1" customWidth="1"/>
    <col min="3" max="3" width="10.140625" bestFit="1" customWidth="1"/>
    <col min="4" max="4" width="34.140625" bestFit="1" customWidth="1"/>
    <col min="5" max="5" width="9.7109375" bestFit="1" customWidth="1"/>
    <col min="6" max="6" width="12.140625" customWidth="1"/>
  </cols>
  <sheetData>
    <row r="1" spans="1:5" x14ac:dyDescent="0.25">
      <c r="A1" s="10" t="s">
        <v>83</v>
      </c>
      <c r="B1" s="10" t="s">
        <v>82</v>
      </c>
      <c r="C1" s="10" t="s">
        <v>74</v>
      </c>
      <c r="D1" s="10" t="s">
        <v>73</v>
      </c>
      <c r="E1" s="10" t="s">
        <v>65</v>
      </c>
    </row>
    <row r="2" spans="1:5" x14ac:dyDescent="0.25">
      <c r="A2" s="9">
        <v>105</v>
      </c>
      <c r="B2" s="9" t="s">
        <v>81</v>
      </c>
      <c r="C2" s="9">
        <v>999</v>
      </c>
      <c r="D2" s="9" t="s">
        <v>72</v>
      </c>
      <c r="E2" s="9">
        <v>12500</v>
      </c>
    </row>
    <row r="3" spans="1:5" x14ac:dyDescent="0.25">
      <c r="A3" s="9">
        <v>201</v>
      </c>
      <c r="B3" s="9" t="s">
        <v>80</v>
      </c>
      <c r="C3" s="9">
        <v>888</v>
      </c>
      <c r="D3" s="9" t="s">
        <v>71</v>
      </c>
      <c r="E3" s="9">
        <v>16500</v>
      </c>
    </row>
    <row r="4" spans="1:5" x14ac:dyDescent="0.25">
      <c r="A4" s="9">
        <v>456</v>
      </c>
      <c r="B4" s="9" t="s">
        <v>79</v>
      </c>
      <c r="C4" s="9">
        <v>777</v>
      </c>
      <c r="D4" s="9" t="s">
        <v>70</v>
      </c>
      <c r="E4" s="9">
        <v>47000</v>
      </c>
    </row>
    <row r="5" spans="1:5" x14ac:dyDescent="0.25">
      <c r="A5" s="9">
        <v>345</v>
      </c>
      <c r="B5" s="9" t="s">
        <v>78</v>
      </c>
      <c r="C5" s="9">
        <v>666</v>
      </c>
      <c r="D5" s="9" t="s">
        <v>69</v>
      </c>
      <c r="E5" s="9">
        <v>36000</v>
      </c>
    </row>
    <row r="6" spans="1:5" x14ac:dyDescent="0.25">
      <c r="A6" s="9">
        <v>632</v>
      </c>
      <c r="B6" s="9" t="s">
        <v>77</v>
      </c>
      <c r="C6" s="9">
        <v>555</v>
      </c>
      <c r="D6" s="9" t="s">
        <v>68</v>
      </c>
      <c r="E6" s="9">
        <v>25000</v>
      </c>
    </row>
    <row r="7" spans="1:5" x14ac:dyDescent="0.25">
      <c r="A7" s="9">
        <v>987</v>
      </c>
      <c r="B7" s="9" t="s">
        <v>76</v>
      </c>
      <c r="C7" s="9">
        <v>444</v>
      </c>
      <c r="D7" s="9" t="s">
        <v>67</v>
      </c>
      <c r="E7" s="9">
        <v>18500</v>
      </c>
    </row>
    <row r="8" spans="1:5" x14ac:dyDescent="0.25">
      <c r="A8" s="9">
        <v>412</v>
      </c>
      <c r="B8" s="9" t="s">
        <v>75</v>
      </c>
      <c r="C8" s="9">
        <v>333</v>
      </c>
      <c r="D8" s="9" t="s">
        <v>66</v>
      </c>
      <c r="E8" s="9">
        <v>16800</v>
      </c>
    </row>
    <row r="11" spans="1:5" x14ac:dyDescent="0.25">
      <c r="A11" s="11">
        <v>632</v>
      </c>
      <c r="B11" s="11" t="str">
        <f>LOOKUP(A11,A2:A8,D2:D8)</f>
        <v>3rd main 2nd Cross Saraswathipuram</v>
      </c>
    </row>
    <row r="12" spans="1:5" x14ac:dyDescent="0.25">
      <c r="A12" s="11"/>
      <c r="B12" s="11"/>
    </row>
    <row r="13" spans="1:5" x14ac:dyDescent="0.25">
      <c r="A13" s="11">
        <v>412</v>
      </c>
      <c r="B13" s="11" t="str">
        <f>VLOOKUP(A13,A1:E8,4,FALSE)</f>
        <v>Shanthinagara</v>
      </c>
    </row>
    <row r="20" spans="1:8" x14ac:dyDescent="0.25">
      <c r="A20" s="10" t="s">
        <v>83</v>
      </c>
      <c r="B20" s="9">
        <v>105</v>
      </c>
      <c r="C20" s="9">
        <v>201</v>
      </c>
      <c r="D20" s="9">
        <v>456</v>
      </c>
      <c r="E20" s="9">
        <v>345</v>
      </c>
      <c r="F20" s="9">
        <v>632</v>
      </c>
      <c r="G20" s="9">
        <v>987</v>
      </c>
      <c r="H20" s="9">
        <v>412</v>
      </c>
    </row>
    <row r="21" spans="1:8" x14ac:dyDescent="0.25">
      <c r="A21" s="10" t="s">
        <v>82</v>
      </c>
      <c r="B21" s="9" t="s">
        <v>81</v>
      </c>
      <c r="C21" s="9" t="s">
        <v>80</v>
      </c>
      <c r="D21" s="9" t="s">
        <v>79</v>
      </c>
      <c r="E21" s="9" t="s">
        <v>78</v>
      </c>
      <c r="F21" s="9" t="s">
        <v>77</v>
      </c>
      <c r="G21" s="9" t="s">
        <v>76</v>
      </c>
      <c r="H21" s="9" t="s">
        <v>75</v>
      </c>
    </row>
    <row r="22" spans="1:8" x14ac:dyDescent="0.25">
      <c r="A22" s="10" t="s">
        <v>74</v>
      </c>
      <c r="B22" s="9">
        <v>999</v>
      </c>
      <c r="C22" s="9">
        <v>888</v>
      </c>
      <c r="D22" s="9">
        <v>777</v>
      </c>
      <c r="E22" s="9">
        <v>666</v>
      </c>
      <c r="F22" s="9">
        <v>555</v>
      </c>
      <c r="G22" s="9">
        <v>444</v>
      </c>
      <c r="H22" s="9">
        <v>333</v>
      </c>
    </row>
    <row r="23" spans="1:8" x14ac:dyDescent="0.25">
      <c r="A23" s="10" t="s">
        <v>73</v>
      </c>
      <c r="B23" s="9" t="s">
        <v>72</v>
      </c>
      <c r="C23" s="9" t="s">
        <v>71</v>
      </c>
      <c r="D23" s="9" t="s">
        <v>70</v>
      </c>
      <c r="E23" s="9" t="s">
        <v>69</v>
      </c>
      <c r="F23" s="9" t="s">
        <v>68</v>
      </c>
      <c r="G23" s="9" t="s">
        <v>67</v>
      </c>
      <c r="H23" s="9" t="s">
        <v>66</v>
      </c>
    </row>
    <row r="24" spans="1:8" x14ac:dyDescent="0.25">
      <c r="A24" s="10" t="s">
        <v>65</v>
      </c>
      <c r="B24" s="9">
        <v>12500</v>
      </c>
      <c r="C24" s="9">
        <v>16500</v>
      </c>
      <c r="D24" s="9">
        <v>47000</v>
      </c>
      <c r="E24" s="9">
        <v>36000</v>
      </c>
      <c r="F24" s="9">
        <v>25000</v>
      </c>
      <c r="G24" s="9">
        <v>18500</v>
      </c>
      <c r="H24" s="9">
        <v>16800</v>
      </c>
    </row>
    <row r="27" spans="1:8" x14ac:dyDescent="0.25">
      <c r="A27">
        <v>201</v>
      </c>
      <c r="B27" t="str">
        <f>HLOOKUP(A27,A20:H24,4,FALSE)</f>
        <v>1st Main Rajajinagara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130" zoomScaleNormal="130" workbookViewId="0">
      <selection activeCell="D25" sqref="D25"/>
    </sheetView>
  </sheetViews>
  <sheetFormatPr defaultRowHeight="15" x14ac:dyDescent="0.25"/>
  <cols>
    <col min="1" max="1" width="8.85546875" bestFit="1" customWidth="1"/>
    <col min="2" max="2" width="16.140625" customWidth="1"/>
    <col min="3" max="3" width="15.5703125" customWidth="1"/>
    <col min="4" max="4" width="16" bestFit="1" customWidth="1"/>
    <col min="5" max="5" width="9.28515625" customWidth="1"/>
    <col min="6" max="6" width="14.140625" customWidth="1"/>
  </cols>
  <sheetData>
    <row r="1" spans="1:6" ht="24" x14ac:dyDescent="0.25">
      <c r="A1" s="8" t="s">
        <v>64</v>
      </c>
      <c r="B1" s="8" t="s">
        <v>63</v>
      </c>
      <c r="C1" s="8" t="s">
        <v>62</v>
      </c>
      <c r="D1" s="8" t="s">
        <v>61</v>
      </c>
      <c r="E1" s="8" t="s">
        <v>60</v>
      </c>
      <c r="F1" s="8" t="s">
        <v>59</v>
      </c>
    </row>
    <row r="2" spans="1:6" x14ac:dyDescent="0.25">
      <c r="A2" s="3" t="s">
        <v>58</v>
      </c>
      <c r="B2" s="7" t="s">
        <v>57</v>
      </c>
      <c r="C2" s="6" t="s">
        <v>2</v>
      </c>
      <c r="D2" s="6" t="s">
        <v>6</v>
      </c>
      <c r="E2" s="5">
        <v>16500</v>
      </c>
      <c r="F2" s="4" t="s">
        <v>10</v>
      </c>
    </row>
    <row r="3" spans="1:6" x14ac:dyDescent="0.25">
      <c r="A3" s="3" t="s">
        <v>56</v>
      </c>
      <c r="B3" s="7" t="s">
        <v>55</v>
      </c>
      <c r="C3" s="6" t="s">
        <v>16</v>
      </c>
      <c r="D3" s="6" t="s">
        <v>15</v>
      </c>
      <c r="E3" s="5">
        <v>17400</v>
      </c>
      <c r="F3" s="4" t="s">
        <v>14</v>
      </c>
    </row>
    <row r="4" spans="1:6" x14ac:dyDescent="0.25">
      <c r="A4" s="3" t="s">
        <v>54</v>
      </c>
      <c r="B4" s="7" t="s">
        <v>53</v>
      </c>
      <c r="C4" s="6" t="s">
        <v>7</v>
      </c>
      <c r="D4" s="6" t="s">
        <v>32</v>
      </c>
      <c r="E4" s="5">
        <v>18500</v>
      </c>
      <c r="F4" s="4" t="s">
        <v>5</v>
      </c>
    </row>
    <row r="5" spans="1:6" x14ac:dyDescent="0.25">
      <c r="A5" s="3" t="s">
        <v>52</v>
      </c>
      <c r="B5" s="7" t="s">
        <v>51</v>
      </c>
      <c r="C5" s="6" t="s">
        <v>7</v>
      </c>
      <c r="D5" s="6" t="s">
        <v>19</v>
      </c>
      <c r="E5" s="5">
        <v>13500</v>
      </c>
      <c r="F5" s="4" t="s">
        <v>0</v>
      </c>
    </row>
    <row r="6" spans="1:6" x14ac:dyDescent="0.25">
      <c r="A6" s="3" t="s">
        <v>50</v>
      </c>
      <c r="B6" s="7" t="s">
        <v>49</v>
      </c>
      <c r="C6" s="6" t="s">
        <v>16</v>
      </c>
      <c r="D6" s="6" t="s">
        <v>22</v>
      </c>
      <c r="E6" s="5">
        <v>19000</v>
      </c>
      <c r="F6" s="4" t="s">
        <v>48</v>
      </c>
    </row>
    <row r="7" spans="1:6" x14ac:dyDescent="0.25">
      <c r="A7" s="3" t="s">
        <v>47</v>
      </c>
      <c r="B7" s="7" t="s">
        <v>46</v>
      </c>
      <c r="C7" s="6" t="s">
        <v>16</v>
      </c>
      <c r="D7" s="6" t="s">
        <v>11</v>
      </c>
      <c r="E7" s="5">
        <v>25000</v>
      </c>
      <c r="F7" s="4" t="s">
        <v>28</v>
      </c>
    </row>
    <row r="8" spans="1:6" x14ac:dyDescent="0.25">
      <c r="A8" s="3" t="s">
        <v>45</v>
      </c>
      <c r="B8" s="7" t="s">
        <v>44</v>
      </c>
      <c r="C8" s="6" t="s">
        <v>7</v>
      </c>
      <c r="D8" s="6" t="s">
        <v>1</v>
      </c>
      <c r="E8" s="5">
        <v>21000</v>
      </c>
      <c r="F8" s="4" t="s">
        <v>14</v>
      </c>
    </row>
    <row r="9" spans="1:6" x14ac:dyDescent="0.25">
      <c r="A9" s="3" t="s">
        <v>43</v>
      </c>
      <c r="B9" s="7" t="s">
        <v>42</v>
      </c>
      <c r="C9" s="6" t="s">
        <v>16</v>
      </c>
      <c r="D9" s="6" t="s">
        <v>6</v>
      </c>
      <c r="E9" s="5">
        <v>17500</v>
      </c>
      <c r="F9" s="4" t="s">
        <v>31</v>
      </c>
    </row>
    <row r="10" spans="1:6" x14ac:dyDescent="0.25">
      <c r="A10" s="3" t="s">
        <v>41</v>
      </c>
      <c r="B10" s="7" t="s">
        <v>40</v>
      </c>
      <c r="C10" s="6" t="s">
        <v>7</v>
      </c>
      <c r="D10" s="6" t="s">
        <v>15</v>
      </c>
      <c r="E10" s="5">
        <v>18600</v>
      </c>
      <c r="F10" s="4" t="s">
        <v>39</v>
      </c>
    </row>
    <row r="11" spans="1:6" x14ac:dyDescent="0.25">
      <c r="A11" s="3" t="s">
        <v>38</v>
      </c>
      <c r="B11" s="7" t="s">
        <v>37</v>
      </c>
      <c r="C11" s="6" t="s">
        <v>2</v>
      </c>
      <c r="D11" s="6" t="s">
        <v>32</v>
      </c>
      <c r="E11" s="5">
        <v>22000</v>
      </c>
      <c r="F11" s="4" t="s">
        <v>25</v>
      </c>
    </row>
    <row r="12" spans="1:6" x14ac:dyDescent="0.25">
      <c r="A12" s="3" t="s">
        <v>36</v>
      </c>
      <c r="B12" s="2" t="s">
        <v>35</v>
      </c>
      <c r="C12" s="2" t="s">
        <v>2</v>
      </c>
      <c r="D12" s="2" t="s">
        <v>15</v>
      </c>
      <c r="E12" s="2">
        <v>17400</v>
      </c>
      <c r="F12" s="1" t="s">
        <v>25</v>
      </c>
    </row>
    <row r="13" spans="1:6" x14ac:dyDescent="0.25">
      <c r="A13" s="3" t="s">
        <v>34</v>
      </c>
      <c r="B13" s="2" t="s">
        <v>33</v>
      </c>
      <c r="C13" s="2" t="s">
        <v>16</v>
      </c>
      <c r="D13" s="2" t="s">
        <v>32</v>
      </c>
      <c r="E13" s="2">
        <v>16500</v>
      </c>
      <c r="F13" s="1" t="s">
        <v>31</v>
      </c>
    </row>
    <row r="14" spans="1:6" x14ac:dyDescent="0.25">
      <c r="A14" s="3" t="s">
        <v>30</v>
      </c>
      <c r="B14" s="2" t="s">
        <v>29</v>
      </c>
      <c r="C14" s="2" t="s">
        <v>7</v>
      </c>
      <c r="D14" s="2" t="s">
        <v>6</v>
      </c>
      <c r="E14" s="2">
        <v>18000</v>
      </c>
      <c r="F14" s="1" t="s">
        <v>28</v>
      </c>
    </row>
    <row r="15" spans="1:6" x14ac:dyDescent="0.25">
      <c r="A15" s="3" t="s">
        <v>27</v>
      </c>
      <c r="B15" s="2" t="s">
        <v>26</v>
      </c>
      <c r="C15" s="2" t="s">
        <v>16</v>
      </c>
      <c r="D15" s="2" t="s">
        <v>1</v>
      </c>
      <c r="E15" s="2">
        <v>17500</v>
      </c>
      <c r="F15" s="1" t="s">
        <v>25</v>
      </c>
    </row>
    <row r="16" spans="1:6" x14ac:dyDescent="0.25">
      <c r="A16" s="3" t="s">
        <v>24</v>
      </c>
      <c r="B16" s="2" t="s">
        <v>23</v>
      </c>
      <c r="C16" s="2" t="s">
        <v>16</v>
      </c>
      <c r="D16" s="2" t="s">
        <v>22</v>
      </c>
      <c r="E16" s="2">
        <v>19600</v>
      </c>
      <c r="F16" s="1" t="s">
        <v>0</v>
      </c>
    </row>
    <row r="17" spans="1:6" x14ac:dyDescent="0.25">
      <c r="A17" s="3" t="s">
        <v>21</v>
      </c>
      <c r="B17" s="2" t="s">
        <v>20</v>
      </c>
      <c r="C17" s="2" t="s">
        <v>7</v>
      </c>
      <c r="D17" s="2" t="s">
        <v>19</v>
      </c>
      <c r="E17" s="2">
        <v>13800</v>
      </c>
      <c r="F17" s="1" t="s">
        <v>5</v>
      </c>
    </row>
    <row r="18" spans="1:6" x14ac:dyDescent="0.25">
      <c r="A18" s="3" t="s">
        <v>18</v>
      </c>
      <c r="B18" s="2" t="s">
        <v>17</v>
      </c>
      <c r="C18" s="2" t="s">
        <v>16</v>
      </c>
      <c r="D18" s="2" t="s">
        <v>15</v>
      </c>
      <c r="E18" s="2">
        <v>16500</v>
      </c>
      <c r="F18" s="1" t="s">
        <v>14</v>
      </c>
    </row>
    <row r="19" spans="1:6" x14ac:dyDescent="0.25">
      <c r="A19" s="3" t="s">
        <v>13</v>
      </c>
      <c r="B19" s="2" t="s">
        <v>12</v>
      </c>
      <c r="C19" s="2" t="s">
        <v>2</v>
      </c>
      <c r="D19" s="2" t="s">
        <v>11</v>
      </c>
      <c r="E19" s="2">
        <v>14800</v>
      </c>
      <c r="F19" s="1" t="s">
        <v>10</v>
      </c>
    </row>
    <row r="20" spans="1:6" x14ac:dyDescent="0.25">
      <c r="A20" s="3" t="s">
        <v>9</v>
      </c>
      <c r="B20" s="2" t="s">
        <v>8</v>
      </c>
      <c r="C20" s="2" t="s">
        <v>7</v>
      </c>
      <c r="D20" s="2" t="s">
        <v>6</v>
      </c>
      <c r="E20" s="2">
        <v>18500</v>
      </c>
      <c r="F20" s="1" t="s">
        <v>5</v>
      </c>
    </row>
    <row r="21" spans="1:6" x14ac:dyDescent="0.25">
      <c r="A21" s="3" t="s">
        <v>4</v>
      </c>
      <c r="B21" s="2" t="s">
        <v>3</v>
      </c>
      <c r="C21" s="2" t="s">
        <v>2</v>
      </c>
      <c r="D21" s="2" t="s">
        <v>1</v>
      </c>
      <c r="E21" s="2">
        <v>17400</v>
      </c>
      <c r="F21" s="1" t="s">
        <v>0</v>
      </c>
    </row>
  </sheetData>
  <dataValidations count="1">
    <dataValidation type="list" allowBlank="1" showInputMessage="1" showErrorMessage="1" sqref="C2:C21">
      <formula1>"Permanent, Temporary, Contract"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="130" zoomScaleNormal="130" workbookViewId="0">
      <selection activeCell="D2" sqref="D2"/>
    </sheetView>
  </sheetViews>
  <sheetFormatPr defaultRowHeight="15" x14ac:dyDescent="0.25"/>
  <cols>
    <col min="1" max="1" width="11.7109375" customWidth="1"/>
    <col min="2" max="2" width="16.140625" customWidth="1"/>
    <col min="3" max="3" width="15.5703125" customWidth="1"/>
    <col min="4" max="4" width="16" bestFit="1" customWidth="1"/>
    <col min="5" max="5" width="9.28515625" customWidth="1"/>
    <col min="6" max="6" width="14.140625" customWidth="1"/>
  </cols>
  <sheetData>
    <row r="1" spans="1:6" x14ac:dyDescent="0.25">
      <c r="A1" s="8" t="s">
        <v>64</v>
      </c>
      <c r="B1" s="8" t="s">
        <v>63</v>
      </c>
      <c r="C1" s="8" t="s">
        <v>62</v>
      </c>
      <c r="D1" s="8" t="s">
        <v>61</v>
      </c>
      <c r="E1" s="8" t="s">
        <v>60</v>
      </c>
      <c r="F1" s="8" t="s">
        <v>59</v>
      </c>
    </row>
    <row r="2" spans="1:6" x14ac:dyDescent="0.25">
      <c r="A2" s="3" t="s">
        <v>58</v>
      </c>
      <c r="B2" s="7" t="s">
        <v>57</v>
      </c>
      <c r="C2" s="6" t="s">
        <v>2</v>
      </c>
      <c r="D2" s="6" t="str">
        <f>VLOOKUP(A2,Sheet7!$A$1:$F$21,4,FALSE)</f>
        <v>Administration</v>
      </c>
      <c r="E2" s="5">
        <f>VLOOKUP(A2,Sheet7!$A$1:$F$21,5,FALSE)</f>
        <v>16500</v>
      </c>
      <c r="F2" s="4" t="str">
        <f>VLOOKUP(A2,Sheet7!$A$1:$F$21,6,FALSE)</f>
        <v>Mumbai</v>
      </c>
    </row>
    <row r="3" spans="1:6" x14ac:dyDescent="0.25">
      <c r="A3" s="3" t="s">
        <v>56</v>
      </c>
      <c r="B3" s="7" t="s">
        <v>55</v>
      </c>
      <c r="C3" s="6" t="s">
        <v>16</v>
      </c>
      <c r="D3" s="6" t="str">
        <f>VLOOKUP(A3,Sheet7!$A$1:$F$21,4,FALSE)</f>
        <v>Sales</v>
      </c>
      <c r="E3" s="5">
        <f>VLOOKUP(A3,Sheet7!$A$1:$F$21,5,FALSE)</f>
        <v>17400</v>
      </c>
      <c r="F3" s="4" t="str">
        <f>VLOOKUP(A3,Sheet7!$A$1:$F$21,6,FALSE)</f>
        <v>Chennai</v>
      </c>
    </row>
    <row r="4" spans="1:6" x14ac:dyDescent="0.25">
      <c r="A4" s="3" t="s">
        <v>54</v>
      </c>
      <c r="B4" s="7" t="s">
        <v>53</v>
      </c>
      <c r="C4" s="6" t="s">
        <v>7</v>
      </c>
      <c r="D4" s="6" t="str">
        <f>VLOOKUP(A4,Sheet7!$A$1:$F$21,4,FALSE)</f>
        <v>Marketing</v>
      </c>
      <c r="E4" s="5">
        <f>VLOOKUP(A4,Sheet7!$A$1:$F$21,5,FALSE)</f>
        <v>18500</v>
      </c>
      <c r="F4" s="4" t="str">
        <f>VLOOKUP(A4,Sheet7!$A$1:$F$21,6,FALSE)</f>
        <v>Delhi</v>
      </c>
    </row>
    <row r="5" spans="1:6" x14ac:dyDescent="0.25">
      <c r="A5" s="3" t="s">
        <v>52</v>
      </c>
      <c r="B5" s="7" t="s">
        <v>51</v>
      </c>
      <c r="C5" s="6" t="s">
        <v>7</v>
      </c>
      <c r="D5" s="6" t="str">
        <f>VLOOKUP(A5,Sheet7!$A$1:$F$21,4,FALSE)</f>
        <v>Human Resource</v>
      </c>
      <c r="E5" s="5">
        <f>VLOOKUP(A5,Sheet7!$A$1:$F$21,5,FALSE)</f>
        <v>13500</v>
      </c>
      <c r="F5" s="4" t="str">
        <f>VLOOKUP(A5,Sheet7!$A$1:$F$21,6,FALSE)</f>
        <v>Kolkata</v>
      </c>
    </row>
    <row r="6" spans="1:6" x14ac:dyDescent="0.25">
      <c r="A6" s="3" t="s">
        <v>50</v>
      </c>
      <c r="B6" s="7" t="s">
        <v>49</v>
      </c>
      <c r="C6" s="6" t="s">
        <v>16</v>
      </c>
      <c r="D6" s="6" t="str">
        <f>VLOOKUP(A6,Sheet7!$A$1:$F$21,4,FALSE)</f>
        <v>Training</v>
      </c>
      <c r="E6" s="5">
        <f>VLOOKUP(A6,Sheet7!$A$1:$F$21,5,FALSE)</f>
        <v>19000</v>
      </c>
      <c r="F6" s="4" t="str">
        <f>VLOOKUP(A6,Sheet7!$A$1:$F$21,6,FALSE)</f>
        <v>Ahmadabad</v>
      </c>
    </row>
    <row r="7" spans="1:6" x14ac:dyDescent="0.25">
      <c r="A7" s="3" t="s">
        <v>47</v>
      </c>
      <c r="B7" s="7" t="s">
        <v>46</v>
      </c>
      <c r="C7" s="6" t="s">
        <v>16</v>
      </c>
      <c r="D7" s="6" t="str">
        <f>VLOOKUP(A7,Sheet7!$A$1:$F$21,4,FALSE)</f>
        <v>Production</v>
      </c>
      <c r="E7" s="5">
        <f>VLOOKUP(A7,Sheet7!$A$1:$F$21,5,FALSE)</f>
        <v>25000</v>
      </c>
      <c r="F7" s="4" t="str">
        <f>VLOOKUP(A7,Sheet7!$A$1:$F$21,6,FALSE)</f>
        <v>Noida</v>
      </c>
    </row>
    <row r="8" spans="1:6" x14ac:dyDescent="0.25">
      <c r="A8" s="3" t="s">
        <v>45</v>
      </c>
      <c r="B8" s="7" t="s">
        <v>44</v>
      </c>
      <c r="C8" s="6" t="s">
        <v>7</v>
      </c>
      <c r="D8" s="6" t="str">
        <f>VLOOKUP(A8,Sheet7!$A$1:$F$21,4,FALSE)</f>
        <v>Quality</v>
      </c>
      <c r="E8" s="5">
        <f>VLOOKUP(A8,Sheet7!$A$1:$F$21,5,FALSE)</f>
        <v>21000</v>
      </c>
      <c r="F8" s="4" t="str">
        <f>VLOOKUP(A8,Sheet7!$A$1:$F$21,6,FALSE)</f>
        <v>Chennai</v>
      </c>
    </row>
    <row r="9" spans="1:6" x14ac:dyDescent="0.25">
      <c r="A9" s="3" t="s">
        <v>43</v>
      </c>
      <c r="B9" s="7" t="s">
        <v>42</v>
      </c>
      <c r="C9" s="6" t="s">
        <v>16</v>
      </c>
      <c r="D9" s="6" t="str">
        <f>VLOOKUP(A9,Sheet7!$A$1:$F$21,4,FALSE)</f>
        <v>Administration</v>
      </c>
      <c r="E9" s="5">
        <f>VLOOKUP(A9,Sheet7!$A$1:$F$21,5,FALSE)</f>
        <v>17500</v>
      </c>
      <c r="F9" s="4" t="str">
        <f>VLOOKUP(A9,Sheet7!$A$1:$F$21,6,FALSE)</f>
        <v>Hyderabad</v>
      </c>
    </row>
    <row r="10" spans="1:6" x14ac:dyDescent="0.25">
      <c r="A10" s="3" t="s">
        <v>41</v>
      </c>
      <c r="B10" s="7" t="s">
        <v>40</v>
      </c>
      <c r="C10" s="6" t="s">
        <v>7</v>
      </c>
      <c r="D10" s="6" t="str">
        <f>VLOOKUP(A10,Sheet7!$A$1:$F$21,4,FALSE)</f>
        <v>Sales</v>
      </c>
      <c r="E10" s="5">
        <f>VLOOKUP(A10,Sheet7!$A$1:$F$21,5,FALSE)</f>
        <v>18600</v>
      </c>
      <c r="F10" s="4" t="str">
        <f>VLOOKUP(A10,Sheet7!$A$1:$F$21,6,FALSE)</f>
        <v>Vizag</v>
      </c>
    </row>
    <row r="11" spans="1:6" x14ac:dyDescent="0.25">
      <c r="A11" s="3" t="s">
        <v>38</v>
      </c>
      <c r="B11" s="7" t="s">
        <v>37</v>
      </c>
      <c r="C11" s="6" t="s">
        <v>2</v>
      </c>
      <c r="D11" s="6" t="str">
        <f>VLOOKUP(A11,Sheet7!$A$1:$F$21,4,FALSE)</f>
        <v>Marketing</v>
      </c>
      <c r="E11" s="5">
        <f>VLOOKUP(A11,Sheet7!$A$1:$F$21,5,FALSE)</f>
        <v>22000</v>
      </c>
      <c r="F11" s="4" t="str">
        <f>VLOOKUP(A11,Sheet7!$A$1:$F$21,6,FALSE)</f>
        <v>Bangalore</v>
      </c>
    </row>
    <row r="19" spans="2:2" x14ac:dyDescent="0.25">
      <c r="B19">
        <v>20</v>
      </c>
    </row>
    <row r="20" spans="2:2" x14ac:dyDescent="0.25">
      <c r="B20">
        <v>0</v>
      </c>
    </row>
    <row r="22" spans="2:2" x14ac:dyDescent="0.25">
      <c r="B22" t="e">
        <f>B19/B20</f>
        <v>#DIV/0!</v>
      </c>
    </row>
    <row r="23" spans="2:2" x14ac:dyDescent="0.25">
      <c r="B23" t="str">
        <f>IFERROR(B19/B20,"Division by zero error")</f>
        <v>Division by zero error</v>
      </c>
    </row>
    <row r="25" spans="2:2" x14ac:dyDescent="0.25">
      <c r="B25" t="str">
        <f>IFERROR(B19/B20,"")</f>
        <v/>
      </c>
    </row>
  </sheetData>
  <dataValidations count="1">
    <dataValidation type="list" allowBlank="1" showInputMessage="1" showErrorMessage="1" sqref="C2:C11">
      <formula1>"Permanent, Temporary, Contract"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120" zoomScaleNormal="120" workbookViewId="0">
      <selection activeCell="C2" sqref="C2"/>
    </sheetView>
  </sheetViews>
  <sheetFormatPr defaultRowHeight="15" x14ac:dyDescent="0.25"/>
  <cols>
    <col min="1" max="1" width="12.140625" customWidth="1"/>
    <col min="2" max="2" width="16.140625" customWidth="1"/>
    <col min="3" max="3" width="15.5703125" customWidth="1"/>
    <col min="4" max="4" width="16" bestFit="1" customWidth="1"/>
    <col min="5" max="5" width="9.28515625" customWidth="1"/>
    <col min="6" max="6" width="14.140625" customWidth="1"/>
  </cols>
  <sheetData>
    <row r="1" spans="1:6" x14ac:dyDescent="0.25">
      <c r="A1" s="8" t="s">
        <v>64</v>
      </c>
      <c r="B1" s="8" t="s">
        <v>63</v>
      </c>
      <c r="C1" s="8" t="s">
        <v>62</v>
      </c>
      <c r="D1" s="8" t="s">
        <v>61</v>
      </c>
      <c r="E1" s="8" t="s">
        <v>60</v>
      </c>
      <c r="F1" s="8" t="s">
        <v>59</v>
      </c>
    </row>
    <row r="2" spans="1:6" x14ac:dyDescent="0.25">
      <c r="A2" s="3" t="s">
        <v>24</v>
      </c>
      <c r="B2" s="2" t="s">
        <v>23</v>
      </c>
      <c r="C2" s="2" t="s">
        <v>16</v>
      </c>
      <c r="D2" s="2" t="s">
        <v>22</v>
      </c>
      <c r="E2" s="2">
        <v>19600</v>
      </c>
      <c r="F2" s="1" t="s">
        <v>0</v>
      </c>
    </row>
    <row r="3" spans="1:6" x14ac:dyDescent="0.25">
      <c r="A3" s="3" t="s">
        <v>27</v>
      </c>
      <c r="B3" s="2" t="s">
        <v>26</v>
      </c>
      <c r="C3" s="2" t="s">
        <v>16</v>
      </c>
      <c r="D3" s="2" t="s">
        <v>1</v>
      </c>
      <c r="E3" s="2">
        <v>17500</v>
      </c>
      <c r="F3" s="1" t="s">
        <v>25</v>
      </c>
    </row>
    <row r="4" spans="1:6" x14ac:dyDescent="0.25">
      <c r="A4" s="3" t="s">
        <v>21</v>
      </c>
      <c r="B4" s="2" t="s">
        <v>20</v>
      </c>
      <c r="C4" s="2" t="s">
        <v>7</v>
      </c>
      <c r="D4" s="2" t="s">
        <v>19</v>
      </c>
      <c r="E4" s="2">
        <v>13800</v>
      </c>
      <c r="F4" s="1" t="s">
        <v>5</v>
      </c>
    </row>
    <row r="5" spans="1:6" x14ac:dyDescent="0.25">
      <c r="A5" s="3" t="s">
        <v>47</v>
      </c>
      <c r="B5" s="7" t="s">
        <v>46</v>
      </c>
      <c r="C5" s="6" t="s">
        <v>16</v>
      </c>
      <c r="D5" s="6" t="s">
        <v>11</v>
      </c>
      <c r="E5" s="5">
        <v>25000</v>
      </c>
      <c r="F5" s="4" t="s">
        <v>28</v>
      </c>
    </row>
    <row r="6" spans="1:6" x14ac:dyDescent="0.25">
      <c r="A6" s="3" t="s">
        <v>18</v>
      </c>
      <c r="B6" s="2" t="s">
        <v>17</v>
      </c>
      <c r="C6" s="2" t="s">
        <v>16</v>
      </c>
      <c r="D6" s="2" t="s">
        <v>15</v>
      </c>
      <c r="E6" s="2">
        <v>16500</v>
      </c>
      <c r="F6" s="1" t="s">
        <v>14</v>
      </c>
    </row>
    <row r="7" spans="1:6" x14ac:dyDescent="0.25">
      <c r="A7" s="3" t="s">
        <v>13</v>
      </c>
      <c r="B7" s="2" t="s">
        <v>12</v>
      </c>
      <c r="C7" s="2" t="s">
        <v>2</v>
      </c>
      <c r="D7" s="2" t="s">
        <v>11</v>
      </c>
      <c r="E7" s="2">
        <v>14800</v>
      </c>
      <c r="F7" s="1" t="s">
        <v>10</v>
      </c>
    </row>
    <row r="8" spans="1:6" x14ac:dyDescent="0.25">
      <c r="A8" s="3" t="s">
        <v>4</v>
      </c>
      <c r="B8" s="2" t="s">
        <v>3</v>
      </c>
      <c r="C8" s="2" t="s">
        <v>2</v>
      </c>
      <c r="D8" s="2" t="s">
        <v>1</v>
      </c>
      <c r="E8" s="2">
        <v>17400</v>
      </c>
      <c r="F8" s="1" t="s">
        <v>0</v>
      </c>
    </row>
    <row r="9" spans="1:6" x14ac:dyDescent="0.25">
      <c r="A9" s="3" t="s">
        <v>9</v>
      </c>
      <c r="B9" s="2" t="s">
        <v>8</v>
      </c>
      <c r="C9" s="2" t="s">
        <v>7</v>
      </c>
      <c r="D9" s="2" t="s">
        <v>6</v>
      </c>
      <c r="E9" s="2">
        <v>18500</v>
      </c>
      <c r="F9" s="1" t="s">
        <v>5</v>
      </c>
    </row>
    <row r="10" spans="1:6" x14ac:dyDescent="0.25">
      <c r="A10" s="3" t="s">
        <v>36</v>
      </c>
      <c r="B10" s="2" t="s">
        <v>35</v>
      </c>
      <c r="C10" s="2" t="s">
        <v>2</v>
      </c>
      <c r="D10" s="2" t="s">
        <v>15</v>
      </c>
      <c r="E10" s="2">
        <v>17400</v>
      </c>
      <c r="F10" s="1" t="s">
        <v>25</v>
      </c>
    </row>
    <row r="11" spans="1:6" x14ac:dyDescent="0.25">
      <c r="A11" s="3" t="s">
        <v>30</v>
      </c>
      <c r="B11" s="2" t="s">
        <v>29</v>
      </c>
      <c r="C11" s="2" t="s">
        <v>7</v>
      </c>
      <c r="D11" s="2" t="s">
        <v>6</v>
      </c>
      <c r="E11" s="2">
        <v>18000</v>
      </c>
      <c r="F11" s="1" t="s">
        <v>28</v>
      </c>
    </row>
    <row r="12" spans="1:6" x14ac:dyDescent="0.25">
      <c r="A12" s="3" t="s">
        <v>45</v>
      </c>
      <c r="B12" s="7" t="s">
        <v>44</v>
      </c>
      <c r="C12" s="6" t="s">
        <v>7</v>
      </c>
      <c r="D12" s="6" t="s">
        <v>1</v>
      </c>
      <c r="E12" s="5">
        <v>21000</v>
      </c>
      <c r="F12" s="4" t="s">
        <v>14</v>
      </c>
    </row>
    <row r="13" spans="1:6" x14ac:dyDescent="0.25">
      <c r="A13" s="3" t="s">
        <v>54</v>
      </c>
      <c r="B13" s="7" t="s">
        <v>53</v>
      </c>
      <c r="C13" s="6" t="s">
        <v>7</v>
      </c>
      <c r="D13" s="6" t="s">
        <v>32</v>
      </c>
      <c r="E13" s="5">
        <v>18500</v>
      </c>
      <c r="F13" s="4" t="s">
        <v>5</v>
      </c>
    </row>
    <row r="14" spans="1:6" x14ac:dyDescent="0.25">
      <c r="A14" s="3" t="s">
        <v>56</v>
      </c>
      <c r="B14" s="7" t="s">
        <v>55</v>
      </c>
      <c r="C14" s="6" t="s">
        <v>16</v>
      </c>
      <c r="D14" s="6" t="s">
        <v>15</v>
      </c>
      <c r="E14" s="5">
        <v>17400</v>
      </c>
      <c r="F14" s="4" t="s">
        <v>14</v>
      </c>
    </row>
    <row r="15" spans="1:6" x14ac:dyDescent="0.25">
      <c r="A15" s="3" t="s">
        <v>50</v>
      </c>
      <c r="B15" s="7" t="s">
        <v>49</v>
      </c>
      <c r="C15" s="6" t="s">
        <v>16</v>
      </c>
      <c r="D15" s="6" t="s">
        <v>22</v>
      </c>
      <c r="E15" s="5">
        <v>19000</v>
      </c>
      <c r="F15" s="4" t="s">
        <v>48</v>
      </c>
    </row>
    <row r="16" spans="1:6" x14ac:dyDescent="0.25">
      <c r="A16" s="3" t="s">
        <v>43</v>
      </c>
      <c r="B16" s="7" t="s">
        <v>42</v>
      </c>
      <c r="C16" s="6" t="s">
        <v>16</v>
      </c>
      <c r="D16" s="6" t="s">
        <v>6</v>
      </c>
      <c r="E16" s="5">
        <v>17500</v>
      </c>
      <c r="F16" s="4" t="s">
        <v>31</v>
      </c>
    </row>
    <row r="17" spans="1:6" x14ac:dyDescent="0.25">
      <c r="A17" s="3" t="s">
        <v>52</v>
      </c>
      <c r="B17" s="7" t="s">
        <v>51</v>
      </c>
      <c r="C17" s="6" t="s">
        <v>7</v>
      </c>
      <c r="D17" s="6" t="s">
        <v>19</v>
      </c>
      <c r="E17" s="5">
        <v>13500</v>
      </c>
      <c r="F17" s="4" t="s">
        <v>0</v>
      </c>
    </row>
    <row r="18" spans="1:6" x14ac:dyDescent="0.25">
      <c r="A18" s="3" t="s">
        <v>34</v>
      </c>
      <c r="B18" s="2" t="s">
        <v>33</v>
      </c>
      <c r="C18" s="2" t="s">
        <v>16</v>
      </c>
      <c r="D18" s="2" t="s">
        <v>32</v>
      </c>
      <c r="E18" s="2">
        <v>16500</v>
      </c>
      <c r="F18" s="1" t="s">
        <v>31</v>
      </c>
    </row>
    <row r="19" spans="1:6" x14ac:dyDescent="0.25">
      <c r="A19" s="3" t="s">
        <v>41</v>
      </c>
      <c r="B19" s="7" t="s">
        <v>40</v>
      </c>
      <c r="C19" s="6" t="s">
        <v>7</v>
      </c>
      <c r="D19" s="6" t="s">
        <v>15</v>
      </c>
      <c r="E19" s="5">
        <v>18600</v>
      </c>
      <c r="F19" s="4" t="s">
        <v>39</v>
      </c>
    </row>
    <row r="20" spans="1:6" x14ac:dyDescent="0.25">
      <c r="A20" s="3" t="s">
        <v>58</v>
      </c>
      <c r="B20" s="7" t="s">
        <v>57</v>
      </c>
      <c r="C20" s="6" t="s">
        <v>2</v>
      </c>
      <c r="D20" s="6" t="s">
        <v>6</v>
      </c>
      <c r="E20" s="5">
        <v>16500</v>
      </c>
      <c r="F20" s="4" t="s">
        <v>10</v>
      </c>
    </row>
    <row r="21" spans="1:6" x14ac:dyDescent="0.25">
      <c r="A21" s="3" t="s">
        <v>38</v>
      </c>
      <c r="B21" s="7" t="s">
        <v>37</v>
      </c>
      <c r="C21" s="6" t="s">
        <v>2</v>
      </c>
      <c r="D21" s="6" t="s">
        <v>32</v>
      </c>
      <c r="E21" s="5">
        <v>22000</v>
      </c>
      <c r="F21" s="4" t="s">
        <v>25</v>
      </c>
    </row>
  </sheetData>
  <dataValidations count="1">
    <dataValidation type="list" allowBlank="1" showInputMessage="1" showErrorMessage="1" sqref="C2:C21">
      <formula1>"Permanent, Temporary, Contract"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20" zoomScaleNormal="120" workbookViewId="0">
      <selection activeCell="D2" sqref="D2"/>
    </sheetView>
  </sheetViews>
  <sheetFormatPr defaultRowHeight="15" x14ac:dyDescent="0.25"/>
  <cols>
    <col min="1" max="1" width="8.85546875" bestFit="1" customWidth="1"/>
    <col min="2" max="2" width="16.140625" customWidth="1"/>
    <col min="3" max="3" width="15.5703125" customWidth="1"/>
    <col min="4" max="4" width="16" bestFit="1" customWidth="1"/>
  </cols>
  <sheetData>
    <row r="1" spans="1:4" ht="24" x14ac:dyDescent="0.25">
      <c r="A1" s="8" t="s">
        <v>64</v>
      </c>
      <c r="B1" s="8" t="s">
        <v>63</v>
      </c>
      <c r="C1" s="8" t="s">
        <v>62</v>
      </c>
      <c r="D1" s="8" t="s">
        <v>61</v>
      </c>
    </row>
    <row r="2" spans="1:4" x14ac:dyDescent="0.25">
      <c r="A2" s="3" t="s">
        <v>58</v>
      </c>
      <c r="B2" s="7" t="s">
        <v>57</v>
      </c>
      <c r="C2" s="6" t="s">
        <v>2</v>
      </c>
      <c r="D2" s="6" t="str">
        <f>IFERROR(VLOOKUP(A2,Sheet10!$A$1:$D$10,4,FALSE),"")</f>
        <v>Administration</v>
      </c>
    </row>
    <row r="3" spans="1:4" x14ac:dyDescent="0.25">
      <c r="A3" s="3" t="s">
        <v>56</v>
      </c>
      <c r="B3" s="7" t="s">
        <v>55</v>
      </c>
      <c r="C3" s="6" t="s">
        <v>16</v>
      </c>
      <c r="D3" s="6" t="str">
        <f>IFERROR(VLOOKUP(A3,Sheet10!$A$1:$D$10,4,FALSE),"")</f>
        <v/>
      </c>
    </row>
    <row r="4" spans="1:4" x14ac:dyDescent="0.25">
      <c r="A4" s="3" t="s">
        <v>54</v>
      </c>
      <c r="B4" s="7" t="s">
        <v>53</v>
      </c>
      <c r="C4" s="6" t="s">
        <v>7</v>
      </c>
      <c r="D4" s="6" t="str">
        <f>IFERROR(VLOOKUP(A4,Sheet10!$A$1:$D$10,4,FALSE),"")</f>
        <v>Marketing</v>
      </c>
    </row>
    <row r="5" spans="1:4" x14ac:dyDescent="0.25">
      <c r="A5" s="3" t="s">
        <v>52</v>
      </c>
      <c r="B5" s="7" t="s">
        <v>51</v>
      </c>
      <c r="C5" s="6" t="s">
        <v>7</v>
      </c>
      <c r="D5" s="6" t="str">
        <f>IFERROR(VLOOKUP(A5,Sheet10!$A$1:$D$10,4,FALSE),"")</f>
        <v>Human Resource</v>
      </c>
    </row>
    <row r="6" spans="1:4" x14ac:dyDescent="0.25">
      <c r="A6" s="3" t="s">
        <v>50</v>
      </c>
      <c r="B6" s="7" t="s">
        <v>49</v>
      </c>
      <c r="C6" s="6" t="s">
        <v>16</v>
      </c>
      <c r="D6" s="6" t="str">
        <f>IFERROR(VLOOKUP(A6,Sheet10!$A$1:$D$10,4,FALSE),"")</f>
        <v>Training</v>
      </c>
    </row>
    <row r="7" spans="1:4" x14ac:dyDescent="0.25">
      <c r="A7" s="3" t="s">
        <v>47</v>
      </c>
      <c r="B7" s="7" t="s">
        <v>46</v>
      </c>
      <c r="C7" s="6" t="s">
        <v>16</v>
      </c>
      <c r="D7" s="6" t="str">
        <f>IFERROR(VLOOKUP(A7,Sheet10!$A$1:$D$10,4,FALSE),"")</f>
        <v/>
      </c>
    </row>
    <row r="8" spans="1:4" x14ac:dyDescent="0.25">
      <c r="A8" s="3" t="s">
        <v>45</v>
      </c>
      <c r="B8" s="7" t="s">
        <v>44</v>
      </c>
      <c r="C8" s="6" t="s">
        <v>7</v>
      </c>
      <c r="D8" s="6" t="str">
        <f>IFERROR(VLOOKUP(A8,Sheet10!$A$1:$D$10,4,FALSE),"")</f>
        <v>Quality</v>
      </c>
    </row>
    <row r="9" spans="1:4" x14ac:dyDescent="0.25">
      <c r="A9" s="3" t="s">
        <v>43</v>
      </c>
      <c r="B9" s="7" t="s">
        <v>42</v>
      </c>
      <c r="C9" s="6" t="s">
        <v>16</v>
      </c>
      <c r="D9" s="6" t="str">
        <f>IFERROR(VLOOKUP(A9,Sheet10!$A$1:$D$10,4,FALSE),"")</f>
        <v>Administration</v>
      </c>
    </row>
    <row r="10" spans="1:4" x14ac:dyDescent="0.25">
      <c r="A10" s="3" t="s">
        <v>41</v>
      </c>
      <c r="B10" s="7" t="s">
        <v>40</v>
      </c>
      <c r="C10" s="6" t="s">
        <v>7</v>
      </c>
      <c r="D10" s="6" t="str">
        <f>IFERROR(VLOOKUP(A10,Sheet10!$A$1:$D$10,4,FALSE),"")</f>
        <v>Sales</v>
      </c>
    </row>
    <row r="11" spans="1:4" x14ac:dyDescent="0.25">
      <c r="A11" s="3" t="s">
        <v>38</v>
      </c>
      <c r="B11" s="7" t="s">
        <v>37</v>
      </c>
      <c r="C11" s="6" t="s">
        <v>2</v>
      </c>
      <c r="D11" s="6" t="str">
        <f>IFERROR(VLOOKUP(A11,Sheet10!$A$1:$D$10,4,FALSE),"")</f>
        <v>Marketing</v>
      </c>
    </row>
  </sheetData>
  <dataValidations count="1">
    <dataValidation type="list" allowBlank="1" showInputMessage="1" showErrorMessage="1" sqref="C2:C11">
      <formula1>"Permanent, Temporary, Contract"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20" zoomScaleNormal="120" workbookViewId="0">
      <selection activeCell="D15" sqref="D15"/>
    </sheetView>
  </sheetViews>
  <sheetFormatPr defaultRowHeight="15" x14ac:dyDescent="0.25"/>
  <cols>
    <col min="1" max="1" width="12.140625" customWidth="1"/>
    <col min="2" max="2" width="16.140625" customWidth="1"/>
    <col min="3" max="3" width="15.5703125" customWidth="1"/>
    <col min="4" max="4" width="16" bestFit="1" customWidth="1"/>
  </cols>
  <sheetData>
    <row r="1" spans="1:4" x14ac:dyDescent="0.25">
      <c r="A1" s="8" t="s">
        <v>64</v>
      </c>
      <c r="B1" s="8" t="s">
        <v>63</v>
      </c>
      <c r="C1" s="8" t="s">
        <v>62</v>
      </c>
      <c r="D1" s="8" t="s">
        <v>61</v>
      </c>
    </row>
    <row r="2" spans="1:4" x14ac:dyDescent="0.25">
      <c r="A2" s="3" t="s">
        <v>45</v>
      </c>
      <c r="B2" s="7" t="s">
        <v>44</v>
      </c>
      <c r="C2" s="6" t="s">
        <v>7</v>
      </c>
      <c r="D2" s="6" t="s">
        <v>1</v>
      </c>
    </row>
    <row r="3" spans="1:4" x14ac:dyDescent="0.25">
      <c r="A3" s="3" t="s">
        <v>54</v>
      </c>
      <c r="B3" s="7" t="s">
        <v>53</v>
      </c>
      <c r="C3" s="6" t="s">
        <v>7</v>
      </c>
      <c r="D3" s="6" t="s">
        <v>32</v>
      </c>
    </row>
    <row r="4" spans="1:4" x14ac:dyDescent="0.25">
      <c r="A4" s="3" t="s">
        <v>50</v>
      </c>
      <c r="B4" s="7" t="s">
        <v>49</v>
      </c>
      <c r="C4" s="6" t="s">
        <v>16</v>
      </c>
      <c r="D4" s="6" t="s">
        <v>22</v>
      </c>
    </row>
    <row r="5" spans="1:4" x14ac:dyDescent="0.25">
      <c r="A5" s="3" t="s">
        <v>43</v>
      </c>
      <c r="B5" s="7" t="s">
        <v>42</v>
      </c>
      <c r="C5" s="6" t="s">
        <v>16</v>
      </c>
      <c r="D5" s="6" t="s">
        <v>6</v>
      </c>
    </row>
    <row r="6" spans="1:4" x14ac:dyDescent="0.25">
      <c r="A6" s="3" t="s">
        <v>52</v>
      </c>
      <c r="B6" s="7" t="s">
        <v>51</v>
      </c>
      <c r="C6" s="6" t="s">
        <v>7</v>
      </c>
      <c r="D6" s="6" t="s">
        <v>19</v>
      </c>
    </row>
    <row r="7" spans="1:4" x14ac:dyDescent="0.25">
      <c r="A7" s="3" t="s">
        <v>34</v>
      </c>
      <c r="B7" s="2" t="s">
        <v>33</v>
      </c>
      <c r="C7" s="2" t="s">
        <v>16</v>
      </c>
      <c r="D7" s="2" t="s">
        <v>32</v>
      </c>
    </row>
    <row r="8" spans="1:4" x14ac:dyDescent="0.25">
      <c r="A8" s="3" t="s">
        <v>41</v>
      </c>
      <c r="B8" s="7" t="s">
        <v>40</v>
      </c>
      <c r="C8" s="6" t="s">
        <v>7</v>
      </c>
      <c r="D8" s="6" t="s">
        <v>15</v>
      </c>
    </row>
    <row r="9" spans="1:4" x14ac:dyDescent="0.25">
      <c r="A9" s="3" t="s">
        <v>58</v>
      </c>
      <c r="B9" s="7" t="s">
        <v>57</v>
      </c>
      <c r="C9" s="6" t="s">
        <v>2</v>
      </c>
      <c r="D9" s="6" t="s">
        <v>6</v>
      </c>
    </row>
    <row r="10" spans="1:4" x14ac:dyDescent="0.25">
      <c r="A10" s="3" t="s">
        <v>38</v>
      </c>
      <c r="B10" s="7" t="s">
        <v>37</v>
      </c>
      <c r="C10" s="6" t="s">
        <v>2</v>
      </c>
      <c r="D10" s="6" t="s">
        <v>32</v>
      </c>
    </row>
  </sheetData>
  <dataValidations count="1">
    <dataValidation type="list" allowBlank="1" showInputMessage="1" showErrorMessage="1" sqref="C2:C10">
      <formula1>"Permanent, Temporary, Contract"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vlookup2</vt:lpstr>
      <vt:lpstr>Sheet6</vt:lpstr>
      <vt:lpstr>Sheet7</vt:lpstr>
      <vt:lpstr>Sheet9</vt:lpstr>
      <vt:lpstr>Sheet10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2024-01-30T09:58:10Z</dcterms:created>
  <dcterms:modified xsi:type="dcterms:W3CDTF">2024-01-30T10:00:54Z</dcterms:modified>
</cp:coreProperties>
</file>