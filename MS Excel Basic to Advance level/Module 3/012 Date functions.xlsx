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Date func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 localSheetId="0">'[4]Data validation'!$G$29:$G$31</definedName>
    <definedName name="etype">'[5]Data validation'!$G$29:$G$31</definedName>
    <definedName name="GST">'[6]Cell references'!$H$18</definedName>
    <definedName name="lap_price" localSheetId="0">#REF!</definedName>
    <definedName name="lap_price">'[7]Financial functions'!$B$114</definedName>
    <definedName name="lap_price2">#REF!</definedName>
    <definedName name="lap_qty" localSheetId="0">#REF!</definedName>
    <definedName name="lap_qty">'[7]Financial functions'!$B$115</definedName>
    <definedName name="laptop_price">#REF!</definedName>
    <definedName name="Laptop_qty">#REF!</definedName>
    <definedName name="laptopprice">#REF!</definedName>
    <definedName name="marks_list" localSheetId="0">#REF!</definedName>
    <definedName name="marks_list">'[8]Define name'!$G$10:$G$14</definedName>
    <definedName name="marks_list1">#REF!</definedName>
    <definedName name="markslist">#REF!</definedName>
    <definedName name="mobileprice">'[9]relative cell reference'!#REF!</definedName>
    <definedName name="PF">[9]Sheet15!$B$3</definedName>
    <definedName name="Price">'[9]relative cell reference'!#REF!</definedName>
    <definedName name="qty">[2]Sheet22!$D$5</definedName>
    <definedName name="quantity">'[9]relative cell reference'!#REF!</definedName>
    <definedName name="salary">[2]Sheet22!$F$2:$F$6</definedName>
    <definedName name="salesvalue">[10]Sheet25!$E$3:$E$10</definedName>
    <definedName name="totaltax">'[9]relative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D5" i="1"/>
  <c r="E5" i="1"/>
  <c r="F5" i="1"/>
  <c r="H10" i="1"/>
  <c r="H11" i="1"/>
  <c r="H12" i="1"/>
  <c r="C14" i="1"/>
  <c r="D14" i="1"/>
  <c r="E14" i="1"/>
  <c r="F14" i="1"/>
  <c r="B18" i="1"/>
  <c r="B20" i="1" s="1"/>
  <c r="E27" i="1"/>
  <c r="E28" i="1"/>
  <c r="E29" i="1"/>
  <c r="E30" i="1"/>
  <c r="B41" i="1"/>
  <c r="B43" i="1" s="1"/>
  <c r="F54" i="1"/>
  <c r="G54" i="1"/>
  <c r="F55" i="1"/>
  <c r="G55" i="1"/>
  <c r="F56" i="1"/>
  <c r="G56" i="1"/>
  <c r="F57" i="1"/>
  <c r="G57" i="1"/>
  <c r="B69" i="1"/>
  <c r="D75" i="1"/>
  <c r="F75" i="1" s="1"/>
  <c r="G75" i="1" s="1"/>
  <c r="D76" i="1"/>
  <c r="F76" i="1"/>
  <c r="G76" i="1" s="1"/>
  <c r="D77" i="1"/>
  <c r="F77" i="1" s="1"/>
  <c r="G77" i="1" s="1"/>
  <c r="D78" i="1"/>
  <c r="F78" i="1"/>
  <c r="G78" i="1" s="1"/>
  <c r="D79" i="1"/>
  <c r="F79" i="1" s="1"/>
  <c r="G79" i="1" s="1"/>
  <c r="D80" i="1"/>
  <c r="F80" i="1"/>
  <c r="G80" i="1" s="1"/>
  <c r="D95" i="1"/>
  <c r="B45" i="1" l="1"/>
  <c r="C44" i="1"/>
  <c r="D40" i="1"/>
  <c r="B44" i="1"/>
  <c r="C45" i="1"/>
</calcChain>
</file>

<file path=xl/sharedStrings.xml><?xml version="1.0" encoding="utf-8"?>
<sst xmlns="http://schemas.openxmlformats.org/spreadsheetml/2006/main" count="53" uniqueCount="44">
  <si>
    <t>Holiday 03</t>
  </si>
  <si>
    <t>Holiday 02</t>
  </si>
  <si>
    <t>Holiday 01</t>
  </si>
  <si>
    <t>Result</t>
  </si>
  <si>
    <t>End date</t>
  </si>
  <si>
    <t>Start date</t>
  </si>
  <si>
    <t>Holidays</t>
  </si>
  <si>
    <t>Networkdays</t>
  </si>
  <si>
    <t>Overdue</t>
  </si>
  <si>
    <t>&gt;60 days</t>
  </si>
  <si>
    <t>Due</t>
  </si>
  <si>
    <t>&gt;30 days &lt;=60</t>
  </si>
  <si>
    <t>Pending</t>
  </si>
  <si>
    <t>&lt;30</t>
  </si>
  <si>
    <t>Prakash</t>
  </si>
  <si>
    <t>Mahesh</t>
  </si>
  <si>
    <t>Vinay</t>
  </si>
  <si>
    <t>Rajesh</t>
  </si>
  <si>
    <t>Naveen</t>
  </si>
  <si>
    <t>Ravi</t>
  </si>
  <si>
    <t>Remakrs</t>
  </si>
  <si>
    <t>Number of days due</t>
  </si>
  <si>
    <t>TOTAL 
AMOUNT</t>
  </si>
  <si>
    <t>DATE 
DUE (30 days)</t>
  </si>
  <si>
    <t>DATE OF INVOICE</t>
  </si>
  <si>
    <t>INVOICE 
NUMBER</t>
  </si>
  <si>
    <t>CUSTOMER</t>
  </si>
  <si>
    <t>Avinash</t>
  </si>
  <si>
    <t>Kumar</t>
  </si>
  <si>
    <t>Actual retirement date</t>
  </si>
  <si>
    <t>Date of retirement</t>
  </si>
  <si>
    <t>year of retirement</t>
  </si>
  <si>
    <t>Date of Birth</t>
  </si>
  <si>
    <t>Date of Join</t>
  </si>
  <si>
    <t>Employee Name</t>
  </si>
  <si>
    <t>Last day of the month</t>
  </si>
  <si>
    <t>EOMONTH</t>
  </si>
  <si>
    <t>Total year of experience</t>
  </si>
  <si>
    <t>Date</t>
  </si>
  <si>
    <t>Year</t>
  </si>
  <si>
    <t>Month</t>
  </si>
  <si>
    <t>Day</t>
  </si>
  <si>
    <t>3/10/201</t>
  </si>
  <si>
    <t>36/10/2021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</si>
</sst>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2" fillId="0" borderId="0" xfId="0" applyFont="1"/>
    <xf numFmtId="0" fontId="3" fillId="2" borderId="2" xfId="1" applyNumberFormat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14" fontId="0" fillId="0" borderId="0" xfId="0" applyNumberFormat="1"/>
    <xf numFmtId="0" fontId="0" fillId="0" borderId="1" xfId="0" applyFill="1" applyBorder="1"/>
    <xf numFmtId="0" fontId="0" fillId="0" borderId="1" xfId="0" applyNumberFormat="1" applyBorder="1"/>
    <xf numFmtId="0" fontId="0" fillId="0" borderId="0" xfId="0" applyNumberFormat="1"/>
    <xf numFmtId="2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heet5"/>
      <sheetName val="Sheet11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8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2"/>
      <sheetName val="sales data"/>
      <sheetName val="Chart3"/>
      <sheetName val="pie data"/>
      <sheetName val="Chart4"/>
      <sheetName val="line chart data"/>
      <sheetName val="text data"/>
      <sheetName val="SUMIF"/>
      <sheetName val="SUMIF function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5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  <sheetName val="SUMIF (2)"/>
      <sheetName val="Large function"/>
      <sheetName val="sales chart"/>
      <sheetName val="Pie chart"/>
      <sheetName val="line chart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2"/>
      <sheetData sheetId="23"/>
      <sheetData sheetId="24"/>
      <sheetData sheetId="25"/>
      <sheetData sheetId="26"/>
      <sheetData sheetId="27">
        <row r="1">
          <cell r="A1" t="str">
            <v>Employee ID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6"/>
  <sheetViews>
    <sheetView tabSelected="1" topLeftCell="A22" zoomScale="130" zoomScaleNormal="130" workbookViewId="0">
      <selection activeCell="C6" sqref="C6"/>
    </sheetView>
  </sheetViews>
  <sheetFormatPr defaultRowHeight="15" x14ac:dyDescent="0.25"/>
  <cols>
    <col min="1" max="1" width="11.28515625" customWidth="1"/>
    <col min="2" max="2" width="18.140625" customWidth="1"/>
    <col min="3" max="3" width="12.85546875" customWidth="1"/>
    <col min="4" max="4" width="18.28515625" customWidth="1"/>
    <col min="5" max="5" width="19.140625" customWidth="1"/>
    <col min="6" max="6" width="17.85546875" bestFit="1" customWidth="1"/>
    <col min="7" max="7" width="21.5703125" bestFit="1" customWidth="1"/>
    <col min="8" max="8" width="13.140625" customWidth="1"/>
  </cols>
  <sheetData>
    <row r="2" spans="2:8" x14ac:dyDescent="0.25">
      <c r="D2" s="11">
        <v>44075</v>
      </c>
    </row>
    <row r="3" spans="2:8" x14ac:dyDescent="0.25">
      <c r="B3" s="11">
        <f ca="1">TODAY()</f>
        <v>45321</v>
      </c>
      <c r="D3" s="11">
        <v>44136</v>
      </c>
    </row>
    <row r="4" spans="2:8" x14ac:dyDescent="0.25">
      <c r="B4" s="15">
        <f ca="1">NOW()</f>
        <v>45321.658528125001</v>
      </c>
    </row>
    <row r="5" spans="2:8" x14ac:dyDescent="0.25">
      <c r="B5" s="11"/>
      <c r="D5">
        <f>D3-D2</f>
        <v>61</v>
      </c>
      <c r="E5">
        <f>_xlfn.DAYS(D3,D2)</f>
        <v>61</v>
      </c>
      <c r="F5">
        <f>DAYS360(D2,D3)</f>
        <v>60</v>
      </c>
    </row>
    <row r="6" spans="2:8" x14ac:dyDescent="0.25">
      <c r="B6" s="15"/>
      <c r="H6" s="11">
        <v>44228</v>
      </c>
    </row>
    <row r="7" spans="2:8" x14ac:dyDescent="0.25">
      <c r="D7" s="11">
        <v>44440</v>
      </c>
      <c r="H7" s="11">
        <v>44265</v>
      </c>
    </row>
    <row r="8" spans="2:8" x14ac:dyDescent="0.25">
      <c r="D8" s="11">
        <v>44645</v>
      </c>
    </row>
    <row r="9" spans="2:8" x14ac:dyDescent="0.25">
      <c r="B9" s="11"/>
      <c r="D9" s="11" t="s">
        <v>43</v>
      </c>
    </row>
    <row r="10" spans="2:8" x14ac:dyDescent="0.25">
      <c r="D10" s="11" t="s">
        <v>42</v>
      </c>
      <c r="H10">
        <f>H7-H6</f>
        <v>37</v>
      </c>
    </row>
    <row r="11" spans="2:8" x14ac:dyDescent="0.25">
      <c r="D11" s="11">
        <v>44472</v>
      </c>
      <c r="H11">
        <f>DAYS360(H6,H7)</f>
        <v>39</v>
      </c>
    </row>
    <row r="12" spans="2:8" x14ac:dyDescent="0.25">
      <c r="D12" s="11"/>
      <c r="H12">
        <f>_xlfn.DAYS(H7,H6)</f>
        <v>37</v>
      </c>
    </row>
    <row r="13" spans="2:8" x14ac:dyDescent="0.25">
      <c r="C13" t="s">
        <v>41</v>
      </c>
      <c r="D13" s="11" t="s">
        <v>40</v>
      </c>
      <c r="E13" t="s">
        <v>39</v>
      </c>
      <c r="F13" t="s">
        <v>38</v>
      </c>
    </row>
    <row r="14" spans="2:8" x14ac:dyDescent="0.25">
      <c r="B14" s="11">
        <v>44472</v>
      </c>
      <c r="C14">
        <f>DAY(B14)</f>
        <v>3</v>
      </c>
      <c r="D14" s="14">
        <f>MONTH(B14)</f>
        <v>10</v>
      </c>
      <c r="E14">
        <f>YEAR(B14)</f>
        <v>2021</v>
      </c>
      <c r="F14" s="11">
        <f>DATE(E14,D14,C14)</f>
        <v>44472</v>
      </c>
    </row>
    <row r="15" spans="2:8" x14ac:dyDescent="0.25">
      <c r="D15" s="11"/>
    </row>
    <row r="16" spans="2:8" x14ac:dyDescent="0.25">
      <c r="B16" s="11">
        <v>44472</v>
      </c>
      <c r="D16" s="14"/>
      <c r="F16" s="11"/>
    </row>
    <row r="17" spans="2:5" x14ac:dyDescent="0.25">
      <c r="D17" s="11"/>
    </row>
    <row r="18" spans="2:5" x14ac:dyDescent="0.25">
      <c r="B18" s="11">
        <f>DATE(YEAR(B16)+2,MONTH(B16),DAY(B16))</f>
        <v>45202</v>
      </c>
      <c r="D18" s="11"/>
    </row>
    <row r="19" spans="2:5" x14ac:dyDescent="0.25">
      <c r="D19" s="11"/>
    </row>
    <row r="20" spans="2:5" x14ac:dyDescent="0.25">
      <c r="B20" s="11">
        <f>DATE(YEAR(B18),MONTH(B18)+5,DAY(B18))</f>
        <v>45354</v>
      </c>
    </row>
    <row r="21" spans="2:5" x14ac:dyDescent="0.25">
      <c r="D21" s="11"/>
    </row>
    <row r="23" spans="2:5" x14ac:dyDescent="0.25">
      <c r="D23" s="11"/>
    </row>
    <row r="26" spans="2:5" x14ac:dyDescent="0.25">
      <c r="B26" s="2" t="s">
        <v>34</v>
      </c>
      <c r="C26" s="2" t="s">
        <v>33</v>
      </c>
      <c r="D26" s="2" t="s">
        <v>38</v>
      </c>
      <c r="E26" s="2" t="s">
        <v>37</v>
      </c>
    </row>
    <row r="27" spans="2:5" x14ac:dyDescent="0.25">
      <c r="B27" s="2" t="s">
        <v>17</v>
      </c>
      <c r="C27" s="1">
        <v>40308</v>
      </c>
      <c r="D27" s="1">
        <v>45209</v>
      </c>
      <c r="E27" s="13">
        <f>YEAR(D27)-YEAR(C27)</f>
        <v>13</v>
      </c>
    </row>
    <row r="28" spans="2:5" x14ac:dyDescent="0.25">
      <c r="B28" s="2" t="s">
        <v>28</v>
      </c>
      <c r="C28" s="1">
        <v>41685</v>
      </c>
      <c r="D28" s="1">
        <v>45209</v>
      </c>
      <c r="E28" s="13">
        <f>YEAR(D28)-YEAR(C28)</f>
        <v>9</v>
      </c>
    </row>
    <row r="29" spans="2:5" x14ac:dyDescent="0.25">
      <c r="B29" s="2" t="s">
        <v>16</v>
      </c>
      <c r="C29" s="1">
        <v>43297</v>
      </c>
      <c r="D29" s="1">
        <v>45209</v>
      </c>
      <c r="E29" s="13">
        <f>YEAR(D29)-YEAR(C29)</f>
        <v>5</v>
      </c>
    </row>
    <row r="30" spans="2:5" x14ac:dyDescent="0.25">
      <c r="B30" s="2" t="s">
        <v>27</v>
      </c>
      <c r="C30" s="1">
        <v>42841</v>
      </c>
      <c r="D30" s="1">
        <v>45209</v>
      </c>
      <c r="E30" s="13">
        <f>YEAR(D30)-YEAR(C30)</f>
        <v>6</v>
      </c>
    </row>
    <row r="40" spans="2:5" x14ac:dyDescent="0.25">
      <c r="B40" s="1">
        <v>40275</v>
      </c>
      <c r="D40" t="str">
        <f ca="1">DATEDIF(B40,B41,"y") &amp; " year " &amp; DATEDIF(B40,B41,"ym") &amp; " Months " &amp; DATEDIF(B40,B41,"md") &amp; " Days "</f>
        <v xml:space="preserve">13 year 9 Months 23 Days </v>
      </c>
    </row>
    <row r="41" spans="2:5" x14ac:dyDescent="0.25">
      <c r="B41" s="11">
        <f ca="1">TODAY()</f>
        <v>45321</v>
      </c>
    </row>
    <row r="43" spans="2:5" x14ac:dyDescent="0.25">
      <c r="B43">
        <f ca="1">DATEDIF(B40,B41,"Y")</f>
        <v>13</v>
      </c>
    </row>
    <row r="44" spans="2:5" x14ac:dyDescent="0.25">
      <c r="B44">
        <f ca="1">DATEDIF(B40,B41,"M")</f>
        <v>165</v>
      </c>
      <c r="C44">
        <f ca="1">DATEDIF(B40,B41,"ym")</f>
        <v>9</v>
      </c>
    </row>
    <row r="45" spans="2:5" x14ac:dyDescent="0.25">
      <c r="B45">
        <f ca="1">DATEDIF(B40,B41,"d")</f>
        <v>5046</v>
      </c>
      <c r="C45">
        <f ca="1">DATEDIF(B40,B41,"md")</f>
        <v>23</v>
      </c>
    </row>
    <row r="48" spans="2:5" x14ac:dyDescent="0.25">
      <c r="E48" t="s">
        <v>36</v>
      </c>
    </row>
    <row r="52" spans="2:7" x14ac:dyDescent="0.25">
      <c r="G52" t="s">
        <v>35</v>
      </c>
    </row>
    <row r="53" spans="2:7" x14ac:dyDescent="0.25">
      <c r="B53" s="2" t="s">
        <v>34</v>
      </c>
      <c r="C53" s="2" t="s">
        <v>33</v>
      </c>
      <c r="D53" s="2" t="s">
        <v>32</v>
      </c>
      <c r="E53" s="2" t="s">
        <v>31</v>
      </c>
      <c r="F53" s="2" t="s">
        <v>30</v>
      </c>
      <c r="G53" s="12" t="s">
        <v>29</v>
      </c>
    </row>
    <row r="54" spans="2:7" x14ac:dyDescent="0.25">
      <c r="B54" s="2" t="s">
        <v>17</v>
      </c>
      <c r="C54" s="1">
        <v>40308</v>
      </c>
      <c r="D54" s="1">
        <v>23879</v>
      </c>
      <c r="E54" s="2">
        <v>60</v>
      </c>
      <c r="F54" s="1">
        <f>DATE(YEAR(D54)+E54,MONTH(D54),DAY(D54))</f>
        <v>45794</v>
      </c>
      <c r="G54" s="1">
        <f>EOMONTH(F54,0)</f>
        <v>45808</v>
      </c>
    </row>
    <row r="55" spans="2:7" x14ac:dyDescent="0.25">
      <c r="B55" s="2" t="s">
        <v>28</v>
      </c>
      <c r="C55" s="1">
        <v>41685</v>
      </c>
      <c r="D55" s="1">
        <v>28646</v>
      </c>
      <c r="E55" s="2">
        <v>60</v>
      </c>
      <c r="F55" s="1">
        <f>DATE(YEAR(D55)+E55,MONTH(D55),DAY(D55))</f>
        <v>50561</v>
      </c>
      <c r="G55" s="1">
        <f>EOMONTH(F55,0)</f>
        <v>50586</v>
      </c>
    </row>
    <row r="56" spans="2:7" x14ac:dyDescent="0.25">
      <c r="B56" s="2" t="s">
        <v>16</v>
      </c>
      <c r="C56" s="1">
        <v>43297</v>
      </c>
      <c r="D56" s="1">
        <v>29317</v>
      </c>
      <c r="E56" s="2">
        <v>60</v>
      </c>
      <c r="F56" s="1">
        <f>DATE(YEAR(D56)+E56,MONTH(D56),DAY(D56))</f>
        <v>51232</v>
      </c>
      <c r="G56" s="1">
        <f>EOMONTH(F56,0)</f>
        <v>51256</v>
      </c>
    </row>
    <row r="57" spans="2:7" x14ac:dyDescent="0.25">
      <c r="B57" s="2" t="s">
        <v>27</v>
      </c>
      <c r="C57" s="1">
        <v>42841</v>
      </c>
      <c r="D57" s="1">
        <v>33092</v>
      </c>
      <c r="E57" s="2">
        <v>60</v>
      </c>
      <c r="F57" s="1">
        <f>DATE(YEAR(D57)+E57,MONTH(D57),DAY(D57))</f>
        <v>55007</v>
      </c>
      <c r="G57" s="1">
        <f>EOMONTH(F57,0)</f>
        <v>55031</v>
      </c>
    </row>
    <row r="66" spans="1:7" x14ac:dyDescent="0.25">
      <c r="B66" s="11">
        <v>44440</v>
      </c>
      <c r="D66" s="11">
        <v>44440</v>
      </c>
    </row>
    <row r="67" spans="1:7" x14ac:dyDescent="0.25">
      <c r="B67" s="11">
        <v>44469</v>
      </c>
      <c r="D67" s="11">
        <v>44449</v>
      </c>
    </row>
    <row r="69" spans="1:7" x14ac:dyDescent="0.25">
      <c r="B69">
        <f>NETWORKDAYS(B66,B67,D66:D67)</f>
        <v>20</v>
      </c>
    </row>
    <row r="74" spans="1:7" ht="25.5" x14ac:dyDescent="0.25">
      <c r="A74" s="10" t="s">
        <v>26</v>
      </c>
      <c r="B74" s="10" t="s">
        <v>25</v>
      </c>
      <c r="C74" s="9" t="s">
        <v>24</v>
      </c>
      <c r="D74" s="9" t="s">
        <v>23</v>
      </c>
      <c r="E74" s="9" t="s">
        <v>22</v>
      </c>
      <c r="F74" s="8" t="s">
        <v>21</v>
      </c>
      <c r="G74" s="8" t="s">
        <v>20</v>
      </c>
    </row>
    <row r="75" spans="1:7" x14ac:dyDescent="0.25">
      <c r="A75" s="7" t="s">
        <v>19</v>
      </c>
      <c r="B75" s="7">
        <v>101</v>
      </c>
      <c r="C75" s="6">
        <v>45240</v>
      </c>
      <c r="D75" s="6">
        <f>DATE(YEAR(C75),MONTH(C75),DAY(C75)+30)</f>
        <v>45270</v>
      </c>
      <c r="E75" s="5">
        <v>15600</v>
      </c>
      <c r="F75" s="4">
        <f ca="1">TODAY()-D75</f>
        <v>51</v>
      </c>
      <c r="G75" t="str">
        <f ca="1">IF(F75&lt;=30,"Pending",IF(AND(F75&gt;30,F75&lt;=60),"Due","Overdue"))</f>
        <v>Due</v>
      </c>
    </row>
    <row r="76" spans="1:7" x14ac:dyDescent="0.25">
      <c r="A76" s="7" t="s">
        <v>18</v>
      </c>
      <c r="B76" s="7">
        <v>88</v>
      </c>
      <c r="C76" s="6">
        <v>45110</v>
      </c>
      <c r="D76" s="6">
        <f>DATE(YEAR(C76),MONTH(C76),DAY(C76)+30)</f>
        <v>45140</v>
      </c>
      <c r="E76" s="5">
        <v>16800</v>
      </c>
      <c r="F76" s="4">
        <f ca="1">TODAY()-D76</f>
        <v>181</v>
      </c>
      <c r="G76" t="str">
        <f ca="1">IF(F76&lt;=30,"Pending",IF(AND(F76&gt;30,F76&lt;=60),"Due","Overdue"))</f>
        <v>Overdue</v>
      </c>
    </row>
    <row r="77" spans="1:7" x14ac:dyDescent="0.25">
      <c r="A77" s="7" t="s">
        <v>17</v>
      </c>
      <c r="B77" s="7">
        <v>45</v>
      </c>
      <c r="C77" s="6">
        <v>45271</v>
      </c>
      <c r="D77" s="6">
        <f>DATE(YEAR(C77),MONTH(C77),DAY(C77)+30)</f>
        <v>45301</v>
      </c>
      <c r="E77" s="5">
        <v>17500</v>
      </c>
      <c r="F77" s="4">
        <f ca="1">TODAY()-D77</f>
        <v>20</v>
      </c>
      <c r="G77" t="str">
        <f ca="1">IF(F77&lt;=30,"Pending",IF(AND(F77&gt;30,F77&lt;=60),"Due","Overdue"))</f>
        <v>Pending</v>
      </c>
    </row>
    <row r="78" spans="1:7" x14ac:dyDescent="0.25">
      <c r="A78" s="7" t="s">
        <v>16</v>
      </c>
      <c r="B78" s="7">
        <v>95</v>
      </c>
      <c r="C78" s="6">
        <v>45290</v>
      </c>
      <c r="D78" s="6">
        <f>DATE(YEAR(C78),MONTH(C78),DAY(C78)+30)</f>
        <v>45320</v>
      </c>
      <c r="E78" s="5">
        <v>2100</v>
      </c>
      <c r="F78" s="4">
        <f ca="1">TODAY()-D78</f>
        <v>1</v>
      </c>
      <c r="G78" t="str">
        <f ca="1">IF(F78&lt;=30,"Pending",IF(AND(F78&gt;30,F78&lt;=60),"Due","Overdue"))</f>
        <v>Pending</v>
      </c>
    </row>
    <row r="79" spans="1:7" x14ac:dyDescent="0.25">
      <c r="A79" s="7" t="s">
        <v>15</v>
      </c>
      <c r="B79" s="7">
        <v>13</v>
      </c>
      <c r="C79" s="6">
        <v>45296</v>
      </c>
      <c r="D79" s="6">
        <f>DATE(YEAR(C79),MONTH(C79),DAY(C79)+30)</f>
        <v>45326</v>
      </c>
      <c r="E79" s="5">
        <v>7560</v>
      </c>
      <c r="F79" s="4">
        <f ca="1">TODAY()-D79</f>
        <v>-5</v>
      </c>
      <c r="G79" t="str">
        <f ca="1">IF(F79&lt;=30,"Pending",IF(AND(F79&gt;30,F79&lt;=60),"Due","Overdue"))</f>
        <v>Pending</v>
      </c>
    </row>
    <row r="80" spans="1:7" x14ac:dyDescent="0.25">
      <c r="A80" s="7" t="s">
        <v>14</v>
      </c>
      <c r="B80" s="7">
        <v>75</v>
      </c>
      <c r="C80" s="6">
        <v>45175</v>
      </c>
      <c r="D80" s="6">
        <f>DATE(YEAR(C80),MONTH(C80),DAY(C80)+30)</f>
        <v>45205</v>
      </c>
      <c r="E80" s="5">
        <v>3256</v>
      </c>
      <c r="F80" s="4">
        <f ca="1">TODAY()-D80</f>
        <v>116</v>
      </c>
      <c r="G80" t="str">
        <f ca="1">IF(F80&lt;=30,"Pending",IF(AND(F80&gt;30,F80&lt;=60),"Due","Overdue"))</f>
        <v>Overdue</v>
      </c>
    </row>
    <row r="85" spans="2:7" x14ac:dyDescent="0.25">
      <c r="D85" s="3"/>
    </row>
    <row r="86" spans="2:7" x14ac:dyDescent="0.25">
      <c r="D86" s="3" t="s">
        <v>13</v>
      </c>
      <c r="E86" t="s">
        <v>12</v>
      </c>
    </row>
    <row r="87" spans="2:7" x14ac:dyDescent="0.25">
      <c r="D87" s="3" t="s">
        <v>11</v>
      </c>
      <c r="E87" t="s">
        <v>10</v>
      </c>
    </row>
    <row r="88" spans="2:7" x14ac:dyDescent="0.25">
      <c r="D88" s="3" t="s">
        <v>9</v>
      </c>
      <c r="E88" t="s">
        <v>8</v>
      </c>
    </row>
    <row r="92" spans="2:7" x14ac:dyDescent="0.25">
      <c r="D92" s="3" t="s">
        <v>7</v>
      </c>
    </row>
    <row r="93" spans="2:7" x14ac:dyDescent="0.25">
      <c r="G93" t="s">
        <v>6</v>
      </c>
    </row>
    <row r="94" spans="2:7" x14ac:dyDescent="0.25">
      <c r="B94" s="2" t="s">
        <v>5</v>
      </c>
      <c r="C94" s="2" t="s">
        <v>4</v>
      </c>
      <c r="D94" s="2" t="s">
        <v>3</v>
      </c>
      <c r="F94" t="s">
        <v>2</v>
      </c>
      <c r="G94" s="1">
        <v>45455</v>
      </c>
    </row>
    <row r="95" spans="2:7" x14ac:dyDescent="0.25">
      <c r="B95" s="1">
        <v>45444</v>
      </c>
      <c r="C95" s="1">
        <v>45473</v>
      </c>
      <c r="D95" s="2">
        <f>NETWORKDAYS(B95,C95,G94:G96)</f>
        <v>17</v>
      </c>
      <c r="F95" t="s">
        <v>1</v>
      </c>
      <c r="G95" s="1">
        <v>45467</v>
      </c>
    </row>
    <row r="96" spans="2:7" x14ac:dyDescent="0.25">
      <c r="F96" t="s">
        <v>0</v>
      </c>
      <c r="G96" s="1">
        <v>45469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function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2024-01-30T10:18:15Z</dcterms:created>
  <dcterms:modified xsi:type="dcterms:W3CDTF">2024-01-30T10:18:35Z</dcterms:modified>
</cp:coreProperties>
</file>