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IF function" sheetId="1" r:id="rId1"/>
    <sheet name="salary statement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aaaaaa">#REF!</definedName>
    <definedName name="amarks">#REF!</definedName>
    <definedName name="cost" localSheetId="1">[10]Sheet22!$D$4</definedName>
    <definedName name="cost">[2]Sheet22!$D$4</definedName>
    <definedName name="criteria1">'[3]Advance filter'!#REF!</definedName>
    <definedName name="Employee_ID">"sheet34!a1:a10"</definedName>
    <definedName name="etype">'[4]Data validation'!$G$29:$G$31</definedName>
    <definedName name="GST">'[5]Cell references'!$H$18</definedName>
    <definedName name="lap_price" localSheetId="1">'[7]Define name'!$D$10</definedName>
    <definedName name="lap_price">'[6]Financial functions'!$B$114</definedName>
    <definedName name="lap_price2">#REF!</definedName>
    <definedName name="lap_qty" localSheetId="1">'[7]Define name'!$D$11</definedName>
    <definedName name="lap_qty">'[6]Financial functions'!$B$115</definedName>
    <definedName name="laptop_price">#REF!</definedName>
    <definedName name="Laptop_qty">#REF!</definedName>
    <definedName name="laptopprice">#REF!</definedName>
    <definedName name="marks_list">'[7]Define name'!$G$10:$G$14</definedName>
    <definedName name="marks_list1">#REF!</definedName>
    <definedName name="markslist">#REF!</definedName>
    <definedName name="mobileprice">'[8]relative cell reference'!#REF!</definedName>
    <definedName name="PF">[8]Sheet15!$B$3</definedName>
    <definedName name="Price">'[8]relative cell reference'!#REF!</definedName>
    <definedName name="qty" localSheetId="1">[10]Sheet22!$D$5</definedName>
    <definedName name="qty">[2]Sheet22!$D$5</definedName>
    <definedName name="quantity">'[8]relative cell reference'!#REF!</definedName>
    <definedName name="salary" localSheetId="1">[10]Sheet22!$F$2:$F$6</definedName>
    <definedName name="salary">[2]Sheet22!$F$2:$F$6</definedName>
    <definedName name="salesvalue">[9]Sheet25!$E$3:$E$10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G2" i="2"/>
  <c r="H2" i="2"/>
  <c r="I2" i="2"/>
  <c r="K2" i="2" s="1"/>
  <c r="M2" i="2" s="1"/>
  <c r="J2" i="2"/>
  <c r="F3" i="2"/>
  <c r="G3" i="2"/>
  <c r="H3" i="2"/>
  <c r="I3" i="2"/>
  <c r="J3" i="2"/>
  <c r="F4" i="2"/>
  <c r="G4" i="2"/>
  <c r="H4" i="2"/>
  <c r="I4" i="2"/>
  <c r="K4" i="2" s="1"/>
  <c r="M4" i="2" s="1"/>
  <c r="J4" i="2"/>
  <c r="F5" i="2"/>
  <c r="G5" i="2"/>
  <c r="H5" i="2"/>
  <c r="I5" i="2"/>
  <c r="J5" i="2"/>
  <c r="F6" i="2"/>
  <c r="G6" i="2"/>
  <c r="H6" i="2"/>
  <c r="I6" i="2"/>
  <c r="K6" i="2" s="1"/>
  <c r="M6" i="2" s="1"/>
  <c r="J6" i="2"/>
  <c r="F7" i="2"/>
  <c r="G7" i="2"/>
  <c r="H7" i="2"/>
  <c r="I7" i="2"/>
  <c r="K7" i="2" s="1"/>
  <c r="M7" i="2" s="1"/>
  <c r="J7" i="2"/>
  <c r="F8" i="2"/>
  <c r="G8" i="2"/>
  <c r="H8" i="2"/>
  <c r="I8" i="2"/>
  <c r="K8" i="2" s="1"/>
  <c r="M8" i="2" s="1"/>
  <c r="J8" i="2"/>
  <c r="F9" i="2"/>
  <c r="G9" i="2"/>
  <c r="H9" i="2"/>
  <c r="I9" i="2"/>
  <c r="K9" i="2" s="1"/>
  <c r="M9" i="2" s="1"/>
  <c r="J9" i="2"/>
  <c r="F10" i="2"/>
  <c r="G10" i="2"/>
  <c r="H10" i="2"/>
  <c r="I10" i="2"/>
  <c r="K10" i="2" s="1"/>
  <c r="M10" i="2" s="1"/>
  <c r="J10" i="2"/>
  <c r="F11" i="2"/>
  <c r="G11" i="2"/>
  <c r="H11" i="2"/>
  <c r="I11" i="2"/>
  <c r="K11" i="2" s="1"/>
  <c r="M11" i="2" s="1"/>
  <c r="J11" i="2"/>
  <c r="D2" i="1"/>
  <c r="D3" i="1"/>
  <c r="D4" i="1"/>
  <c r="D5" i="1"/>
  <c r="D6" i="1"/>
  <c r="D18" i="1"/>
  <c r="D19" i="1"/>
  <c r="D20" i="1"/>
  <c r="D21" i="1"/>
  <c r="D22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D73" i="1"/>
  <c r="D74" i="1"/>
  <c r="D75" i="1"/>
  <c r="D76" i="1"/>
  <c r="D77" i="1"/>
  <c r="N11" i="2" l="1"/>
  <c r="N10" i="2"/>
  <c r="N8" i="2"/>
  <c r="N6" i="2"/>
  <c r="N4" i="2"/>
  <c r="N2" i="2"/>
  <c r="K5" i="2"/>
  <c r="M5" i="2" s="1"/>
  <c r="N5" i="2" s="1"/>
  <c r="K3" i="2"/>
  <c r="M3" i="2" s="1"/>
  <c r="N3" i="2" s="1"/>
  <c r="N9" i="2"/>
  <c r="N7" i="2"/>
</calcChain>
</file>

<file path=xl/sharedStrings.xml><?xml version="1.0" encoding="utf-8"?>
<sst xmlns="http://schemas.openxmlformats.org/spreadsheetml/2006/main" count="193" uniqueCount="84">
  <si>
    <t>Motorola</t>
  </si>
  <si>
    <t>Lenova</t>
  </si>
  <si>
    <t>Slow moving</t>
  </si>
  <si>
    <t>&lt;50</t>
  </si>
  <si>
    <t>Micromax</t>
  </si>
  <si>
    <t>Average moving</t>
  </si>
  <si>
    <t>&gt;=50 and &lt;100</t>
  </si>
  <si>
    <t>Samsung</t>
  </si>
  <si>
    <t>Fast moving</t>
  </si>
  <si>
    <t>&gt;=100</t>
  </si>
  <si>
    <t>Nokia</t>
  </si>
  <si>
    <t>Type 1</t>
  </si>
  <si>
    <t>Sales - Mar</t>
  </si>
  <si>
    <t>Product Name</t>
  </si>
  <si>
    <t>SL NO</t>
  </si>
  <si>
    <t>Daya</t>
  </si>
  <si>
    <t>Vinod</t>
  </si>
  <si>
    <t>Sanjeev</t>
  </si>
  <si>
    <t>Rajesh</t>
  </si>
  <si>
    <t>Mahesh</t>
  </si>
  <si>
    <t>Vasanth</t>
  </si>
  <si>
    <t>Ravi</t>
  </si>
  <si>
    <t>Manoj</t>
  </si>
  <si>
    <t>Mahadev</t>
  </si>
  <si>
    <t>Avinash</t>
  </si>
  <si>
    <t>Class</t>
  </si>
  <si>
    <t>Average</t>
  </si>
  <si>
    <t>Pass or fail</t>
  </si>
  <si>
    <t>Total</t>
  </si>
  <si>
    <t>Practicals</t>
  </si>
  <si>
    <t>Interview</t>
  </si>
  <si>
    <t>Written test</t>
  </si>
  <si>
    <t>Student Name</t>
  </si>
  <si>
    <t>SL No</t>
  </si>
  <si>
    <t>Vinay</t>
  </si>
  <si>
    <t>Naveen</t>
  </si>
  <si>
    <t>Kumar</t>
  </si>
  <si>
    <t>Insentive</t>
  </si>
  <si>
    <t>Sales rep</t>
  </si>
  <si>
    <t>&gt;=50</t>
  </si>
  <si>
    <t>Sales Qty - Mar</t>
  </si>
  <si>
    <t>Administrator</t>
  </si>
  <si>
    <t>E003</t>
  </si>
  <si>
    <t>Sales Manager</t>
  </si>
  <si>
    <t>E002</t>
  </si>
  <si>
    <t>Manager</t>
  </si>
  <si>
    <t>E001</t>
  </si>
  <si>
    <t>Designation</t>
  </si>
  <si>
    <t>Emp Name</t>
  </si>
  <si>
    <t>Emp Id</t>
  </si>
  <si>
    <t>C</t>
  </si>
  <si>
    <t>Marketing Executive</t>
  </si>
  <si>
    <t>E010</t>
  </si>
  <si>
    <t>B</t>
  </si>
  <si>
    <t>Pooja</t>
  </si>
  <si>
    <t>E009</t>
  </si>
  <si>
    <t>A</t>
  </si>
  <si>
    <t>Sanjana</t>
  </si>
  <si>
    <t>E008</t>
  </si>
  <si>
    <t>Trainer</t>
  </si>
  <si>
    <t>E007</t>
  </si>
  <si>
    <t>Clerk</t>
  </si>
  <si>
    <t>E006</t>
  </si>
  <si>
    <t>Coordinator</t>
  </si>
  <si>
    <t>Mahendra</t>
  </si>
  <si>
    <t>E005</t>
  </si>
  <si>
    <t>Anand</t>
  </si>
  <si>
    <t>E004</t>
  </si>
  <si>
    <t>City type</t>
  </si>
  <si>
    <t>Gross Salary &lt;=10000,100
Gross Salary &gt;10000 and &lt;=20000 ,200
Gross Salary &gt; 20000,300</t>
  </si>
  <si>
    <t>PT</t>
  </si>
  <si>
    <t>12.5% of Basic</t>
  </si>
  <si>
    <t>PF</t>
  </si>
  <si>
    <t>8% of Basic</t>
  </si>
  <si>
    <t>TA</t>
  </si>
  <si>
    <t>City type A, 25% of Basic
City type B, 15% of Basic
City type C, 10% of Basic</t>
  </si>
  <si>
    <t>HRA</t>
  </si>
  <si>
    <t>52% of basic</t>
  </si>
  <si>
    <t>DA</t>
  </si>
  <si>
    <t>Net Salary</t>
  </si>
  <si>
    <t>Deduction Total</t>
  </si>
  <si>
    <t>Insurance</t>
  </si>
  <si>
    <t>Gross salary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</si>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</sst>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quotePrefix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2" fontId="0" fillId="0" borderId="1" xfId="0" quotePrefix="1" applyNumberFormat="1" applyBorder="1" applyAlignment="1">
      <alignment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90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0" fontId="0" fillId="0" borderId="0" xfId="0" applyFill="1" applyBorder="1" applyAlignment="1">
      <alignment horizontal="left"/>
    </xf>
    <xf numFmtId="0" fontId="0" fillId="0" borderId="0" xfId="0" applyFill="1"/>
    <xf numFmtId="1" fontId="1" fillId="0" borderId="1" xfId="0" quotePrefix="1" applyNumberFormat="1" applyFont="1" applyBorder="1" applyAlignment="1">
      <alignment wrapText="1"/>
    </xf>
    <xf numFmtId="1" fontId="0" fillId="0" borderId="1" xfId="0" quotePrefix="1" applyNumberFormat="1" applyBorder="1" applyAlignment="1">
      <alignment wrapText="1"/>
    </xf>
    <xf numFmtId="1" fontId="5" fillId="0" borderId="1" xfId="0" quotePrefix="1" applyNumberFormat="1" applyFont="1" applyBorder="1" applyAlignment="1">
      <alignment wrapText="1"/>
    </xf>
    <xf numFmtId="0" fontId="0" fillId="0" borderId="1" xfId="0" applyBorder="1" applyAlignment="1">
      <alignment wrapText="1"/>
    </xf>
    <xf numFmtId="0" fontId="5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rinath\Bhims%202016\Sampl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alary details Jun 2023"/>
      <sheetName val="Salary details Jun 2023 (2)"/>
      <sheetName val="Personal details"/>
      <sheetName val="vlookup"/>
      <sheetName val="vlookup2"/>
      <sheetName val="Sheet5"/>
      <sheetName val="Sheet6"/>
      <sheetName val="Sheet7"/>
      <sheetName val="Sheet9"/>
      <sheetName val="Sheet10"/>
      <sheetName val="Sheet11"/>
      <sheetName val="text functions"/>
      <sheetName val="Date function"/>
      <sheetName val="Sales chart"/>
      <sheetName val="Line chart"/>
      <sheetName val="sales data"/>
      <sheetName val="Expenditure"/>
      <sheetName val="Pie chart"/>
      <sheetName val="Sheet12"/>
      <sheetName val="Sheet3"/>
      <sheetName val="Conditional formatting"/>
      <sheetName val="Sheet14"/>
      <sheetName val="Pivot data"/>
      <sheetName val="Protect shee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6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D11">
            <v>45</v>
          </cell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zoomScale="145" zoomScaleNormal="145" workbookViewId="0">
      <selection activeCell="D13" sqref="D13"/>
    </sheetView>
  </sheetViews>
  <sheetFormatPr defaultRowHeight="15" x14ac:dyDescent="0.25"/>
  <cols>
    <col min="1" max="1" width="6.140625" bestFit="1" customWidth="1"/>
    <col min="2" max="2" width="15.85546875" customWidth="1"/>
    <col min="3" max="3" width="15.28515625" bestFit="1" customWidth="1"/>
    <col min="4" max="4" width="14.85546875" customWidth="1"/>
    <col min="5" max="5" width="11.7109375" customWidth="1"/>
    <col min="6" max="6" width="10.7109375" customWidth="1"/>
    <col min="7" max="7" width="13.7109375" bestFit="1" customWidth="1"/>
    <col min="8" max="8" width="15.42578125" bestFit="1" customWidth="1"/>
    <col min="9" max="9" width="20.7109375" customWidth="1"/>
  </cols>
  <sheetData>
    <row r="1" spans="1:5" x14ac:dyDescent="0.25">
      <c r="A1" s="4" t="s">
        <v>14</v>
      </c>
      <c r="B1" s="4" t="s">
        <v>13</v>
      </c>
      <c r="C1" s="4" t="s">
        <v>40</v>
      </c>
      <c r="D1" s="4" t="s">
        <v>11</v>
      </c>
      <c r="E1" s="5"/>
    </row>
    <row r="2" spans="1:5" x14ac:dyDescent="0.25">
      <c r="A2" s="4">
        <v>1</v>
      </c>
      <c r="B2" s="4" t="s">
        <v>10</v>
      </c>
      <c r="C2" s="3">
        <v>85</v>
      </c>
      <c r="D2" s="2" t="str">
        <f>IF(C2&gt;=50,"Fast moving","Slow moving")</f>
        <v>Fast moving</v>
      </c>
      <c r="E2" s="1"/>
    </row>
    <row r="3" spans="1:5" x14ac:dyDescent="0.25">
      <c r="A3" s="4">
        <v>2</v>
      </c>
      <c r="B3" s="4" t="s">
        <v>7</v>
      </c>
      <c r="C3" s="3">
        <v>65</v>
      </c>
      <c r="D3" s="2" t="str">
        <f>IF(C3&gt;=50,"Fast moving","Slow moving")</f>
        <v>Fast moving</v>
      </c>
      <c r="E3" s="1"/>
    </row>
    <row r="4" spans="1:5" x14ac:dyDescent="0.25">
      <c r="A4" s="4">
        <v>3</v>
      </c>
      <c r="B4" s="4" t="s">
        <v>4</v>
      </c>
      <c r="C4" s="3">
        <v>35</v>
      </c>
      <c r="D4" s="2" t="str">
        <f>IF(C4&gt;=50,"Fast moving","Slow moving")</f>
        <v>Slow moving</v>
      </c>
      <c r="E4" s="1"/>
    </row>
    <row r="5" spans="1:5" x14ac:dyDescent="0.25">
      <c r="A5" s="4">
        <v>4</v>
      </c>
      <c r="B5" s="4" t="s">
        <v>1</v>
      </c>
      <c r="C5" s="3">
        <v>98</v>
      </c>
      <c r="D5" s="2" t="str">
        <f>IF(C5&gt;=50,"Fast moving","Slow moving")</f>
        <v>Fast moving</v>
      </c>
      <c r="E5" s="1"/>
    </row>
    <row r="6" spans="1:5" x14ac:dyDescent="0.25">
      <c r="A6" s="5">
        <v>5</v>
      </c>
      <c r="B6" s="4" t="s">
        <v>0</v>
      </c>
      <c r="C6" s="3">
        <v>48</v>
      </c>
      <c r="D6" s="2" t="str">
        <f>IF(C6&gt;=50,"Fast moving","Slow moving")</f>
        <v>Slow moving</v>
      </c>
      <c r="E6" s="1"/>
    </row>
    <row r="8" spans="1:5" x14ac:dyDescent="0.25">
      <c r="B8" s="19" t="s">
        <v>39</v>
      </c>
      <c r="C8" t="s">
        <v>8</v>
      </c>
    </row>
    <row r="9" spans="1:5" x14ac:dyDescent="0.25">
      <c r="B9" s="19" t="s">
        <v>3</v>
      </c>
      <c r="C9" t="s">
        <v>2</v>
      </c>
    </row>
    <row r="11" spans="1:5" x14ac:dyDescent="0.25">
      <c r="C11" s="18">
        <v>45</v>
      </c>
      <c r="D11">
        <v>65</v>
      </c>
    </row>
    <row r="12" spans="1:5" x14ac:dyDescent="0.25">
      <c r="C12" s="18">
        <v>40</v>
      </c>
      <c r="D12">
        <v>40</v>
      </c>
    </row>
    <row r="17" spans="1:9" x14ac:dyDescent="0.25">
      <c r="A17" s="4" t="s">
        <v>14</v>
      </c>
      <c r="B17" s="4" t="s">
        <v>38</v>
      </c>
      <c r="C17" s="4" t="s">
        <v>12</v>
      </c>
      <c r="D17" s="4" t="s">
        <v>37</v>
      </c>
    </row>
    <row r="18" spans="1:9" x14ac:dyDescent="0.25">
      <c r="A18" s="4">
        <v>1</v>
      </c>
      <c r="B18" s="4" t="s">
        <v>19</v>
      </c>
      <c r="C18" s="3">
        <v>59</v>
      </c>
      <c r="D18" s="2">
        <f>IF(C18&gt;=60,250,0)</f>
        <v>0</v>
      </c>
      <c r="F18">
        <v>250</v>
      </c>
    </row>
    <row r="19" spans="1:9" x14ac:dyDescent="0.25">
      <c r="A19" s="4">
        <v>2</v>
      </c>
      <c r="B19" s="4" t="s">
        <v>36</v>
      </c>
      <c r="C19" s="3">
        <v>65</v>
      </c>
      <c r="D19" s="2">
        <f>IF(C19&gt;=60,250,0)</f>
        <v>250</v>
      </c>
      <c r="F19">
        <v>0</v>
      </c>
    </row>
    <row r="20" spans="1:9" x14ac:dyDescent="0.25">
      <c r="A20" s="4">
        <v>3</v>
      </c>
      <c r="B20" s="4" t="s">
        <v>35</v>
      </c>
      <c r="C20" s="3">
        <v>35</v>
      </c>
      <c r="D20" s="2">
        <f>IF(C20&gt;=60,250,0)</f>
        <v>0</v>
      </c>
    </row>
    <row r="21" spans="1:9" x14ac:dyDescent="0.25">
      <c r="A21" s="4">
        <v>4</v>
      </c>
      <c r="B21" s="4" t="s">
        <v>18</v>
      </c>
      <c r="C21" s="3">
        <v>98</v>
      </c>
      <c r="D21" s="2">
        <f>IF(C21&gt;=60,250,0)</f>
        <v>250</v>
      </c>
    </row>
    <row r="22" spans="1:9" x14ac:dyDescent="0.25">
      <c r="A22" s="5">
        <v>5</v>
      </c>
      <c r="B22" s="4" t="s">
        <v>34</v>
      </c>
      <c r="C22" s="3">
        <v>48</v>
      </c>
      <c r="D22" s="2">
        <f>IF(C22&gt;=60,250,0)</f>
        <v>0</v>
      </c>
    </row>
    <row r="28" spans="1:9" ht="41.25" x14ac:dyDescent="0.25">
      <c r="A28" s="17" t="s">
        <v>33</v>
      </c>
      <c r="B28" s="16" t="s">
        <v>32</v>
      </c>
      <c r="C28" s="16" t="s">
        <v>31</v>
      </c>
      <c r="D28" s="16" t="s">
        <v>30</v>
      </c>
      <c r="E28" s="16" t="s">
        <v>29</v>
      </c>
      <c r="F28" s="16" t="s">
        <v>28</v>
      </c>
      <c r="G28" s="16" t="s">
        <v>27</v>
      </c>
    </row>
    <row r="29" spans="1:9" x14ac:dyDescent="0.25">
      <c r="A29" s="9">
        <v>1</v>
      </c>
      <c r="B29" s="11" t="s">
        <v>24</v>
      </c>
      <c r="C29" s="3">
        <v>95</v>
      </c>
      <c r="D29" s="3">
        <v>48</v>
      </c>
      <c r="E29" s="3">
        <v>45</v>
      </c>
      <c r="F29" s="8">
        <f>SUM(C29:E29)</f>
        <v>188</v>
      </c>
      <c r="G29" s="6" t="str">
        <f>IF(AND(C29&gt;=40,D29&gt;=40,E29&gt;=40),"Pass","Fail")</f>
        <v>Pass</v>
      </c>
      <c r="H29" t="str">
        <f>IF(OR(C29&lt;40,D29&lt;40,E29&lt;40),"Fail","Pass")</f>
        <v>Pass</v>
      </c>
      <c r="I29" t="str">
        <f>IF(MIN(C29:E29)&gt;=40,"Pass","Fail")</f>
        <v>Pass</v>
      </c>
    </row>
    <row r="30" spans="1:9" x14ac:dyDescent="0.25">
      <c r="A30" s="9">
        <v>2</v>
      </c>
      <c r="B30" s="11" t="s">
        <v>23</v>
      </c>
      <c r="C30" s="3">
        <v>25</v>
      </c>
      <c r="D30" s="3">
        <v>85</v>
      </c>
      <c r="E30" s="3">
        <v>85</v>
      </c>
      <c r="F30" s="8">
        <f>SUM(C30:E30)</f>
        <v>195</v>
      </c>
      <c r="G30" s="6" t="str">
        <f>IF(AND(C30&gt;=40,D30&gt;=40,E30&gt;=40),"Pass","Fail")</f>
        <v>Fail</v>
      </c>
      <c r="H30" t="str">
        <f>IF(OR(C30&lt;40,D30&lt;40,E30&lt;40),"Fail","Pass")</f>
        <v>Fail</v>
      </c>
      <c r="I30" t="str">
        <f>IF(MIN(C30:E30)&gt;=40,"Pass","Fail")</f>
        <v>Fail</v>
      </c>
    </row>
    <row r="31" spans="1:9" x14ac:dyDescent="0.25">
      <c r="A31" s="9">
        <v>3</v>
      </c>
      <c r="B31" s="11" t="s">
        <v>22</v>
      </c>
      <c r="C31" s="3">
        <v>36</v>
      </c>
      <c r="D31" s="3">
        <v>96</v>
      </c>
      <c r="E31" s="3">
        <v>36</v>
      </c>
      <c r="F31" s="8">
        <f>SUM(C31:E31)</f>
        <v>168</v>
      </c>
      <c r="G31" s="6" t="str">
        <f>IF(AND(C31&gt;=40,D31&gt;=40,E31&gt;=40),"Pass","Fail")</f>
        <v>Fail</v>
      </c>
      <c r="H31" t="str">
        <f>IF(OR(C31&lt;40,D31&lt;40,E31&lt;40),"Fail","Pass")</f>
        <v>Fail</v>
      </c>
      <c r="I31" t="str">
        <f>IF(MIN(C31:E31)&gt;=40,"Pass","Fail")</f>
        <v>Fail</v>
      </c>
    </row>
    <row r="32" spans="1:9" x14ac:dyDescent="0.25">
      <c r="A32" s="9">
        <v>4</v>
      </c>
      <c r="B32" s="12" t="s">
        <v>21</v>
      </c>
      <c r="C32" s="3">
        <v>85</v>
      </c>
      <c r="D32" s="3">
        <v>32</v>
      </c>
      <c r="E32" s="3">
        <v>15</v>
      </c>
      <c r="F32" s="8">
        <f>SUM(C32:E32)</f>
        <v>132</v>
      </c>
      <c r="G32" s="6" t="str">
        <f>IF(AND(C32&gt;=40,D32&gt;=40,E32&gt;=40),"Pass","Fail")</f>
        <v>Fail</v>
      </c>
      <c r="H32" t="str">
        <f>IF(OR(C32&lt;40,D32&lt;40,E32&lt;40),"Fail","Pass")</f>
        <v>Fail</v>
      </c>
      <c r="I32" t="str">
        <f>IF(MIN(C32:E32)&gt;=40,"Pass","Fail")</f>
        <v>Fail</v>
      </c>
    </row>
    <row r="33" spans="1:9" x14ac:dyDescent="0.25">
      <c r="A33" s="9">
        <v>5</v>
      </c>
      <c r="B33" s="11" t="s">
        <v>20</v>
      </c>
      <c r="C33" s="3">
        <v>65</v>
      </c>
      <c r="D33" s="3">
        <v>85</v>
      </c>
      <c r="E33" s="3">
        <v>74</v>
      </c>
      <c r="F33" s="8">
        <f>SUM(C33:E33)</f>
        <v>224</v>
      </c>
      <c r="G33" s="6" t="str">
        <f>IF(AND(C33&gt;=40,D33&gt;=40,E33&gt;=40),"Pass","Fail")</f>
        <v>Pass</v>
      </c>
      <c r="H33" t="str">
        <f>IF(OR(C33&lt;40,D33&lt;40,E33&lt;40),"Fail","Pass")</f>
        <v>Pass</v>
      </c>
      <c r="I33" t="str">
        <f>IF(MIN(C33:E33)&gt;=40,"Pass","Fail")</f>
        <v>Pass</v>
      </c>
    </row>
    <row r="34" spans="1:9" x14ac:dyDescent="0.25">
      <c r="A34" s="9">
        <v>6</v>
      </c>
      <c r="B34" s="10" t="s">
        <v>19</v>
      </c>
      <c r="C34" s="3">
        <v>45</v>
      </c>
      <c r="D34" s="3">
        <v>75</v>
      </c>
      <c r="E34" s="3">
        <v>85</v>
      </c>
      <c r="F34" s="8">
        <f>SUM(C34:E34)</f>
        <v>205</v>
      </c>
      <c r="G34" s="6" t="str">
        <f>IF(AND(C34&gt;=40,D34&gt;=40,E34&gt;=40),"Pass","Fail")</f>
        <v>Pass</v>
      </c>
      <c r="H34" t="str">
        <f>IF(OR(C34&lt;40,D34&lt;40,E34&lt;40),"Fail","Pass")</f>
        <v>Pass</v>
      </c>
      <c r="I34" t="str">
        <f>IF(MIN(C34:E34)&gt;=40,"Pass","Fail")</f>
        <v>Pass</v>
      </c>
    </row>
    <row r="35" spans="1:9" x14ac:dyDescent="0.25">
      <c r="A35" s="9">
        <v>7</v>
      </c>
      <c r="B35" s="10" t="s">
        <v>18</v>
      </c>
      <c r="C35" s="3">
        <v>96</v>
      </c>
      <c r="D35" s="3">
        <v>85</v>
      </c>
      <c r="E35" s="3">
        <v>36</v>
      </c>
      <c r="F35" s="8">
        <f>SUM(C35:E35)</f>
        <v>217</v>
      </c>
      <c r="G35" s="6" t="str">
        <f>IF(AND(C35&gt;=40,D35&gt;=40,E35&gt;=40),"Pass","Fail")</f>
        <v>Fail</v>
      </c>
      <c r="H35" t="str">
        <f>IF(OR(C35&lt;40,D35&lt;40,E35&lt;40),"Fail","Pass")</f>
        <v>Fail</v>
      </c>
      <c r="I35" t="str">
        <f>IF(MIN(C35:E35)&gt;=40,"Pass","Fail")</f>
        <v>Fail</v>
      </c>
    </row>
    <row r="36" spans="1:9" x14ac:dyDescent="0.25">
      <c r="A36" s="9">
        <v>8</v>
      </c>
      <c r="B36" s="10" t="s">
        <v>17</v>
      </c>
      <c r="C36" s="3">
        <v>35</v>
      </c>
      <c r="D36" s="3">
        <v>58</v>
      </c>
      <c r="E36" s="3">
        <v>62</v>
      </c>
      <c r="F36" s="8">
        <f>SUM(C36:E36)</f>
        <v>155</v>
      </c>
      <c r="G36" s="6" t="str">
        <f>IF(AND(C36&gt;=40,D36&gt;=40,E36&gt;=40),"Pass","Fail")</f>
        <v>Fail</v>
      </c>
      <c r="H36" t="str">
        <f>IF(OR(C36&lt;40,D36&lt;40,E36&lt;40),"Fail","Pass")</f>
        <v>Fail</v>
      </c>
      <c r="I36" t="str">
        <f>IF(MIN(C36:E36)&gt;=40,"Pass","Fail")</f>
        <v>Fail</v>
      </c>
    </row>
    <row r="37" spans="1:9" x14ac:dyDescent="0.25">
      <c r="A37" s="9">
        <v>9</v>
      </c>
      <c r="B37" s="10" t="s">
        <v>16</v>
      </c>
      <c r="C37" s="3">
        <v>25</v>
      </c>
      <c r="D37" s="3">
        <v>59</v>
      </c>
      <c r="E37" s="3">
        <v>35</v>
      </c>
      <c r="F37" s="8">
        <f>SUM(C37:E37)</f>
        <v>119</v>
      </c>
      <c r="G37" s="6" t="str">
        <f>IF(AND(C37&gt;=40,D37&gt;=40,E37&gt;=40),"Pass","Fail")</f>
        <v>Fail</v>
      </c>
      <c r="H37" t="str">
        <f>IF(OR(C37&lt;40,D37&lt;40,E37&lt;40),"Fail","Pass")</f>
        <v>Fail</v>
      </c>
      <c r="I37" t="str">
        <f>IF(MIN(C37:E37)&gt;=40,"Pass","Fail")</f>
        <v>Fail</v>
      </c>
    </row>
    <row r="38" spans="1:9" x14ac:dyDescent="0.25">
      <c r="A38" s="9">
        <v>10</v>
      </c>
      <c r="B38" s="10" t="s">
        <v>15</v>
      </c>
      <c r="C38" s="3">
        <v>16</v>
      </c>
      <c r="D38" s="3">
        <v>74</v>
      </c>
      <c r="E38" s="3">
        <v>85</v>
      </c>
      <c r="F38" s="8">
        <f>SUM(C38:E38)</f>
        <v>175</v>
      </c>
      <c r="G38" s="6" t="str">
        <f>IF(AND(C38&gt;=40,D38&gt;=40,E38&gt;=40),"Pass","Fail")</f>
        <v>Fail</v>
      </c>
      <c r="H38" t="str">
        <f>IF(OR(C38&lt;40,D38&lt;40,E38&lt;40),"Fail","Pass")</f>
        <v>Fail</v>
      </c>
      <c r="I38" t="str">
        <f>IF(MIN(C38:E38)&gt;=40,"Pass","Fail")</f>
        <v>Fail</v>
      </c>
    </row>
    <row r="43" spans="1:9" ht="41.25" x14ac:dyDescent="0.25">
      <c r="A43" s="17" t="s">
        <v>33</v>
      </c>
      <c r="B43" s="16" t="s">
        <v>32</v>
      </c>
      <c r="C43" s="16" t="s">
        <v>31</v>
      </c>
      <c r="D43" s="16" t="s">
        <v>30</v>
      </c>
      <c r="E43" s="16" t="s">
        <v>29</v>
      </c>
      <c r="F43" s="16" t="s">
        <v>28</v>
      </c>
      <c r="G43" s="15" t="s">
        <v>27</v>
      </c>
      <c r="H43" s="14" t="s">
        <v>26</v>
      </c>
      <c r="I43" s="14" t="s">
        <v>25</v>
      </c>
    </row>
    <row r="44" spans="1:9" x14ac:dyDescent="0.25">
      <c r="A44" s="9">
        <v>1</v>
      </c>
      <c r="B44" s="11" t="s">
        <v>24</v>
      </c>
      <c r="C44" s="9">
        <v>60</v>
      </c>
      <c r="D44" s="9">
        <v>65</v>
      </c>
      <c r="E44" s="9">
        <v>62</v>
      </c>
      <c r="F44" s="8"/>
      <c r="G44" s="2"/>
      <c r="H44" s="13"/>
      <c r="I44" s="2"/>
    </row>
    <row r="45" spans="1:9" x14ac:dyDescent="0.25">
      <c r="A45" s="9">
        <v>2</v>
      </c>
      <c r="B45" s="11" t="s">
        <v>23</v>
      </c>
      <c r="C45" s="9">
        <v>25</v>
      </c>
      <c r="D45" s="9">
        <v>85</v>
      </c>
      <c r="E45" s="9">
        <v>85</v>
      </c>
      <c r="F45" s="8"/>
      <c r="G45" s="2"/>
      <c r="H45" s="7"/>
      <c r="I45" s="6"/>
    </row>
    <row r="46" spans="1:9" x14ac:dyDescent="0.25">
      <c r="A46" s="9">
        <v>3</v>
      </c>
      <c r="B46" s="11" t="s">
        <v>22</v>
      </c>
      <c r="C46" s="9">
        <v>36</v>
      </c>
      <c r="D46" s="9">
        <v>96</v>
      </c>
      <c r="E46" s="9">
        <v>36</v>
      </c>
      <c r="F46" s="8"/>
      <c r="G46" s="2"/>
      <c r="H46" s="7"/>
      <c r="I46" s="6"/>
    </row>
    <row r="47" spans="1:9" x14ac:dyDescent="0.25">
      <c r="A47" s="9">
        <v>4</v>
      </c>
      <c r="B47" s="12" t="s">
        <v>21</v>
      </c>
      <c r="C47" s="9">
        <v>85</v>
      </c>
      <c r="D47" s="9">
        <v>32</v>
      </c>
      <c r="E47" s="9">
        <v>15</v>
      </c>
      <c r="F47" s="8"/>
      <c r="G47" s="2"/>
      <c r="H47" s="7"/>
      <c r="I47" s="6"/>
    </row>
    <row r="48" spans="1:9" x14ac:dyDescent="0.25">
      <c r="A48" s="9">
        <v>5</v>
      </c>
      <c r="B48" s="11" t="s">
        <v>20</v>
      </c>
      <c r="C48" s="9">
        <v>65</v>
      </c>
      <c r="D48" s="9">
        <v>85</v>
      </c>
      <c r="E48" s="9">
        <v>74</v>
      </c>
      <c r="F48" s="8"/>
      <c r="G48" s="2"/>
      <c r="H48" s="7"/>
      <c r="I48" s="6"/>
    </row>
    <row r="49" spans="1:9" x14ac:dyDescent="0.25">
      <c r="A49" s="9">
        <v>6</v>
      </c>
      <c r="B49" s="10" t="s">
        <v>19</v>
      </c>
      <c r="C49" s="9">
        <v>45</v>
      </c>
      <c r="D49" s="9">
        <v>75</v>
      </c>
      <c r="E49" s="9">
        <v>85</v>
      </c>
      <c r="F49" s="8"/>
      <c r="G49" s="2"/>
      <c r="H49" s="7"/>
      <c r="I49" s="6"/>
    </row>
    <row r="50" spans="1:9" x14ac:dyDescent="0.25">
      <c r="A50" s="9">
        <v>7</v>
      </c>
      <c r="B50" s="10" t="s">
        <v>18</v>
      </c>
      <c r="C50" s="9">
        <v>96</v>
      </c>
      <c r="D50" s="9">
        <v>85</v>
      </c>
      <c r="E50" s="9">
        <v>36</v>
      </c>
      <c r="F50" s="8"/>
      <c r="G50" s="2"/>
      <c r="H50" s="7"/>
      <c r="I50" s="6"/>
    </row>
    <row r="51" spans="1:9" x14ac:dyDescent="0.25">
      <c r="A51" s="9">
        <v>8</v>
      </c>
      <c r="B51" s="10" t="s">
        <v>17</v>
      </c>
      <c r="C51" s="9">
        <v>35</v>
      </c>
      <c r="D51" s="9">
        <v>58</v>
      </c>
      <c r="E51" s="9">
        <v>62</v>
      </c>
      <c r="F51" s="8"/>
      <c r="G51" s="2"/>
      <c r="H51" s="7"/>
      <c r="I51" s="6"/>
    </row>
    <row r="52" spans="1:9" x14ac:dyDescent="0.25">
      <c r="A52" s="9">
        <v>9</v>
      </c>
      <c r="B52" s="10" t="s">
        <v>16</v>
      </c>
      <c r="C52" s="9">
        <v>25</v>
      </c>
      <c r="D52" s="9">
        <v>59</v>
      </c>
      <c r="E52" s="9">
        <v>35</v>
      </c>
      <c r="F52" s="8"/>
      <c r="G52" s="2"/>
      <c r="H52" s="7"/>
      <c r="I52" s="6"/>
    </row>
    <row r="53" spans="1:9" x14ac:dyDescent="0.25">
      <c r="A53" s="9">
        <v>10</v>
      </c>
      <c r="B53" s="10" t="s">
        <v>15</v>
      </c>
      <c r="C53" s="9">
        <v>16</v>
      </c>
      <c r="D53" s="9">
        <v>74</v>
      </c>
      <c r="E53" s="9">
        <v>85</v>
      </c>
      <c r="F53" s="8"/>
      <c r="G53" s="2"/>
      <c r="H53" s="7"/>
      <c r="I53" s="6"/>
    </row>
    <row r="72" spans="1:8" x14ac:dyDescent="0.25">
      <c r="A72" s="4" t="s">
        <v>14</v>
      </c>
      <c r="B72" s="4" t="s">
        <v>13</v>
      </c>
      <c r="C72" s="4" t="s">
        <v>12</v>
      </c>
      <c r="D72" s="4" t="s">
        <v>11</v>
      </c>
      <c r="E72" s="5"/>
    </row>
    <row r="73" spans="1:8" x14ac:dyDescent="0.25">
      <c r="A73" s="4">
        <v>1</v>
      </c>
      <c r="B73" s="4" t="s">
        <v>10</v>
      </c>
      <c r="C73" s="3">
        <v>125</v>
      </c>
      <c r="D73" s="2" t="str">
        <f>IF(C73&gt;=100,"Fast moving",IF(AND(C73&gt;=50,C73&lt;100),"Average moving","Slow moving"))</f>
        <v>Fast moving</v>
      </c>
      <c r="E73" s="1"/>
      <c r="G73" t="s">
        <v>9</v>
      </c>
      <c r="H73" t="s">
        <v>8</v>
      </c>
    </row>
    <row r="74" spans="1:8" ht="30" x14ac:dyDescent="0.25">
      <c r="A74" s="4">
        <v>2</v>
      </c>
      <c r="B74" s="4" t="s">
        <v>7</v>
      </c>
      <c r="C74" s="3">
        <v>95</v>
      </c>
      <c r="D74" s="2" t="str">
        <f>IF(C74&gt;=100,"Fast moving",IF(AND(C74&gt;=50,C74&lt;100),"Average moving","Slow moving"))</f>
        <v>Average moving</v>
      </c>
      <c r="E74" s="1"/>
      <c r="G74" t="s">
        <v>6</v>
      </c>
      <c r="H74" t="s">
        <v>5</v>
      </c>
    </row>
    <row r="75" spans="1:8" x14ac:dyDescent="0.25">
      <c r="A75" s="4">
        <v>3</v>
      </c>
      <c r="B75" s="4" t="s">
        <v>4</v>
      </c>
      <c r="C75" s="3">
        <v>35</v>
      </c>
      <c r="D75" s="2" t="str">
        <f>IF(C75&gt;=100,"Fast moving",IF(AND(C75&gt;=50,C75&lt;100),"Average moving","Slow moving"))</f>
        <v>Slow moving</v>
      </c>
      <c r="E75" s="1"/>
      <c r="G75" t="s">
        <v>3</v>
      </c>
      <c r="H75" t="s">
        <v>2</v>
      </c>
    </row>
    <row r="76" spans="1:8" ht="30" x14ac:dyDescent="0.25">
      <c r="A76" s="4">
        <v>4</v>
      </c>
      <c r="B76" s="4" t="s">
        <v>1</v>
      </c>
      <c r="C76" s="3">
        <v>98</v>
      </c>
      <c r="D76" s="2" t="str">
        <f>IF(C76&gt;=100,"Fast moving",IF(AND(C76&gt;=50,C76&lt;100),"Average moving","Slow moving"))</f>
        <v>Average moving</v>
      </c>
      <c r="E76" s="1"/>
    </row>
    <row r="77" spans="1:8" x14ac:dyDescent="0.25">
      <c r="A77" s="5">
        <v>5</v>
      </c>
      <c r="B77" s="4" t="s">
        <v>0</v>
      </c>
      <c r="C77" s="3">
        <v>112</v>
      </c>
      <c r="D77" s="2" t="str">
        <f>IF(C77&gt;=100,"Fast moving",IF(AND(C77&gt;=50,C77&lt;100),"Average moving","Slow moving"))</f>
        <v>Fast moving</v>
      </c>
      <c r="E7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3"/>
  <sheetViews>
    <sheetView zoomScale="130" zoomScaleNormal="130" workbookViewId="0">
      <selection activeCell="C13" sqref="C13"/>
    </sheetView>
  </sheetViews>
  <sheetFormatPr defaultRowHeight="15" x14ac:dyDescent="0.25"/>
  <cols>
    <col min="1" max="1" width="7.140625" customWidth="1"/>
    <col min="2" max="2" width="10.42578125" customWidth="1"/>
    <col min="3" max="3" width="19.28515625" bestFit="1" customWidth="1"/>
    <col min="4" max="4" width="6.42578125" customWidth="1"/>
    <col min="5" max="5" width="10" customWidth="1"/>
    <col min="6" max="6" width="7.42578125" customWidth="1"/>
    <col min="7" max="7" width="12.85546875" customWidth="1"/>
    <col min="8" max="8" width="7.28515625" customWidth="1"/>
    <col min="9" max="9" width="10.28515625" customWidth="1"/>
    <col min="10" max="10" width="8.28515625" customWidth="1"/>
    <col min="11" max="11" width="12.28515625" customWidth="1"/>
    <col min="12" max="12" width="7.140625" customWidth="1"/>
    <col min="13" max="13" width="13" customWidth="1"/>
    <col min="14" max="14" width="9" bestFit="1" customWidth="1"/>
  </cols>
  <sheetData>
    <row r="1" spans="1:14" ht="30" x14ac:dyDescent="0.25">
      <c r="A1" s="20" t="s">
        <v>49</v>
      </c>
      <c r="B1" s="20" t="s">
        <v>48</v>
      </c>
      <c r="C1" s="20" t="s">
        <v>47</v>
      </c>
      <c r="D1" s="20" t="s">
        <v>68</v>
      </c>
      <c r="E1" s="20" t="s">
        <v>83</v>
      </c>
      <c r="F1" s="20" t="s">
        <v>78</v>
      </c>
      <c r="G1" s="20" t="s">
        <v>76</v>
      </c>
      <c r="H1" s="20" t="s">
        <v>74</v>
      </c>
      <c r="I1" s="33" t="s">
        <v>82</v>
      </c>
      <c r="J1" s="20" t="s">
        <v>72</v>
      </c>
      <c r="K1" s="20" t="s">
        <v>70</v>
      </c>
      <c r="L1" s="20" t="s">
        <v>81</v>
      </c>
      <c r="M1" s="20" t="s">
        <v>80</v>
      </c>
      <c r="N1" s="20" t="s">
        <v>79</v>
      </c>
    </row>
    <row r="2" spans="1:14" x14ac:dyDescent="0.25">
      <c r="A2" s="3" t="s">
        <v>46</v>
      </c>
      <c r="B2" s="6" t="s">
        <v>35</v>
      </c>
      <c r="C2" s="6" t="s">
        <v>45</v>
      </c>
      <c r="D2" s="3" t="s">
        <v>56</v>
      </c>
      <c r="E2" s="6">
        <v>18050</v>
      </c>
      <c r="F2" s="1">
        <f>E2*52%</f>
        <v>9386</v>
      </c>
      <c r="G2" s="2">
        <f>IF(D2="A",E2*25%,IF(D2="B",E2*15%,E2*10%))</f>
        <v>4512.5</v>
      </c>
      <c r="H2" s="1">
        <f>E2*8%</f>
        <v>1444</v>
      </c>
      <c r="I2" s="31">
        <f>SUM(E2:H2)</f>
        <v>33392.5</v>
      </c>
      <c r="J2" s="30">
        <f>E2*12.5%</f>
        <v>2256.25</v>
      </c>
      <c r="K2" s="1">
        <f>IF(I2&lt;=10000,100,IF(AND(I2&gt;10000,I2&lt;=20000),200,300))</f>
        <v>300</v>
      </c>
      <c r="L2" s="32">
        <v>3000</v>
      </c>
      <c r="M2" s="29">
        <f>SUM(J2:L2)</f>
        <v>5556.25</v>
      </c>
      <c r="N2" s="13">
        <f>I2-M2</f>
        <v>27836.25</v>
      </c>
    </row>
    <row r="3" spans="1:14" x14ac:dyDescent="0.25">
      <c r="A3" s="3" t="s">
        <v>44</v>
      </c>
      <c r="B3" s="6" t="s">
        <v>34</v>
      </c>
      <c r="C3" s="6" t="s">
        <v>43</v>
      </c>
      <c r="D3" s="3" t="s">
        <v>53</v>
      </c>
      <c r="E3" s="6">
        <v>3500</v>
      </c>
      <c r="F3" s="1">
        <f>E3*52%</f>
        <v>1820</v>
      </c>
      <c r="G3" s="2">
        <f>IF(D3="A",E3*25%,IF(D3="B",E3*15%,E3*10%))</f>
        <v>525</v>
      </c>
      <c r="H3" s="1">
        <f>E3*8%</f>
        <v>280</v>
      </c>
      <c r="I3" s="31">
        <f>SUM(E3:H3)</f>
        <v>6125</v>
      </c>
      <c r="J3" s="30">
        <f>E3*12.5%</f>
        <v>437.5</v>
      </c>
      <c r="K3" s="1">
        <f>IF(I3&lt;=10000,100,IF(AND(I3&gt;10000,I3&lt;=20000),200,300))</f>
        <v>100</v>
      </c>
      <c r="L3" s="6">
        <v>200</v>
      </c>
      <c r="M3" s="29">
        <f>SUM(J3:L3)</f>
        <v>737.5</v>
      </c>
      <c r="N3" s="13">
        <f>I3-M3</f>
        <v>5387.5</v>
      </c>
    </row>
    <row r="4" spans="1:14" x14ac:dyDescent="0.25">
      <c r="A4" s="3" t="s">
        <v>42</v>
      </c>
      <c r="B4" s="6" t="s">
        <v>18</v>
      </c>
      <c r="C4" s="6" t="s">
        <v>41</v>
      </c>
      <c r="D4" s="3" t="s">
        <v>56</v>
      </c>
      <c r="E4" s="6">
        <v>7500</v>
      </c>
      <c r="F4" s="1">
        <f>E4*52%</f>
        <v>3900</v>
      </c>
      <c r="G4" s="2">
        <f>IF(D4="A",E4*25%,IF(D4="B",E4*15%,E4*10%))</f>
        <v>1875</v>
      </c>
      <c r="H4" s="1">
        <f>E4*8%</f>
        <v>600</v>
      </c>
      <c r="I4" s="31">
        <f>SUM(E4:H4)</f>
        <v>13875</v>
      </c>
      <c r="J4" s="30">
        <f>E4*12.5%</f>
        <v>937.5</v>
      </c>
      <c r="K4" s="1">
        <f>IF(I4&lt;=10000,100,IF(AND(I4&gt;10000,I4&lt;=20000),200,300))</f>
        <v>200</v>
      </c>
      <c r="L4" s="6">
        <v>2500</v>
      </c>
      <c r="M4" s="29">
        <f>SUM(J4:L4)</f>
        <v>3637.5</v>
      </c>
      <c r="N4" s="13">
        <f>I4-M4</f>
        <v>10237.5</v>
      </c>
    </row>
    <row r="5" spans="1:14" x14ac:dyDescent="0.25">
      <c r="A5" s="3" t="s">
        <v>67</v>
      </c>
      <c r="B5" s="6" t="s">
        <v>66</v>
      </c>
      <c r="C5" s="6" t="s">
        <v>59</v>
      </c>
      <c r="D5" s="3" t="s">
        <v>56</v>
      </c>
      <c r="E5" s="6">
        <v>6500</v>
      </c>
      <c r="F5" s="1">
        <f>E5*52%</f>
        <v>3380</v>
      </c>
      <c r="G5" s="2">
        <f>IF(D5="A",E5*25%,IF(D5="B",E5*15%,E5*10%))</f>
        <v>1625</v>
      </c>
      <c r="H5" s="1">
        <f>E5*8%</f>
        <v>520</v>
      </c>
      <c r="I5" s="31">
        <f>SUM(E5:H5)</f>
        <v>12025</v>
      </c>
      <c r="J5" s="30">
        <f>E5*12.5%</f>
        <v>812.5</v>
      </c>
      <c r="K5" s="1">
        <f>IF(I5&lt;=10000,100,IF(AND(I5&gt;10000,I5&lt;=20000),200,300))</f>
        <v>200</v>
      </c>
      <c r="L5" s="6">
        <v>2500</v>
      </c>
      <c r="M5" s="29">
        <f>SUM(J5:L5)</f>
        <v>3512.5</v>
      </c>
      <c r="N5" s="13">
        <f>I5-M5</f>
        <v>8512.5</v>
      </c>
    </row>
    <row r="6" spans="1:14" x14ac:dyDescent="0.25">
      <c r="A6" s="3" t="s">
        <v>65</v>
      </c>
      <c r="B6" s="6" t="s">
        <v>64</v>
      </c>
      <c r="C6" s="6" t="s">
        <v>63</v>
      </c>
      <c r="D6" s="3" t="s">
        <v>50</v>
      </c>
      <c r="E6" s="6">
        <v>15000</v>
      </c>
      <c r="F6" s="1">
        <f>E6*52%</f>
        <v>7800</v>
      </c>
      <c r="G6" s="2">
        <f>IF(D6="A",E6*25%,IF(D6="B",E6*15%,E6*10%))</f>
        <v>1500</v>
      </c>
      <c r="H6" s="1">
        <f>E6*8%</f>
        <v>1200</v>
      </c>
      <c r="I6" s="31">
        <f>SUM(E6:H6)</f>
        <v>25500</v>
      </c>
      <c r="J6" s="30">
        <f>E6*12.5%</f>
        <v>1875</v>
      </c>
      <c r="K6" s="1">
        <f>IF(I6&lt;=10000,100,IF(AND(I6&gt;10000,I6&lt;=20000),200,300))</f>
        <v>300</v>
      </c>
      <c r="L6" s="6">
        <v>3000</v>
      </c>
      <c r="M6" s="29">
        <f>SUM(J6:L6)</f>
        <v>5175</v>
      </c>
      <c r="N6" s="13">
        <f>I6-M6</f>
        <v>20325</v>
      </c>
    </row>
    <row r="7" spans="1:14" x14ac:dyDescent="0.25">
      <c r="A7" s="3" t="s">
        <v>62</v>
      </c>
      <c r="B7" s="6" t="s">
        <v>36</v>
      </c>
      <c r="C7" s="6" t="s">
        <v>61</v>
      </c>
      <c r="D7" s="3" t="s">
        <v>50</v>
      </c>
      <c r="E7" s="6">
        <v>6500</v>
      </c>
      <c r="F7" s="1">
        <f>E7*52%</f>
        <v>3380</v>
      </c>
      <c r="G7" s="2">
        <f>IF(D7="A",E7*25%,IF(D7="B",E7*15%,E7*10%))</f>
        <v>650</v>
      </c>
      <c r="H7" s="1">
        <f>E7*8%</f>
        <v>520</v>
      </c>
      <c r="I7" s="31">
        <f>SUM(E7:H7)</f>
        <v>11050</v>
      </c>
      <c r="J7" s="30">
        <f>E7*12.5%</f>
        <v>812.5</v>
      </c>
      <c r="K7" s="1">
        <f>IF(I7&lt;=10000,100,IF(AND(I7&gt;10000,I7&lt;=20000),200,300))</f>
        <v>200</v>
      </c>
      <c r="L7" s="6">
        <v>3200</v>
      </c>
      <c r="M7" s="29">
        <f>SUM(J7:L7)</f>
        <v>4212.5</v>
      </c>
      <c r="N7" s="13">
        <f>I7-M7</f>
        <v>6837.5</v>
      </c>
    </row>
    <row r="8" spans="1:14" x14ac:dyDescent="0.25">
      <c r="A8" s="3" t="s">
        <v>60</v>
      </c>
      <c r="B8" s="6" t="s">
        <v>15</v>
      </c>
      <c r="C8" s="6" t="s">
        <v>59</v>
      </c>
      <c r="D8" s="3" t="s">
        <v>53</v>
      </c>
      <c r="E8" s="6">
        <v>3500</v>
      </c>
      <c r="F8" s="1">
        <f>E8*52%</f>
        <v>1820</v>
      </c>
      <c r="G8" s="2">
        <f>IF(D8="A",E8*25%,IF(D8="B",E8*15%,E8*10%))</f>
        <v>525</v>
      </c>
      <c r="H8" s="1">
        <f>E8*8%</f>
        <v>280</v>
      </c>
      <c r="I8" s="31">
        <f>SUM(E8:H8)</f>
        <v>6125</v>
      </c>
      <c r="J8" s="30">
        <f>E8*12.5%</f>
        <v>437.5</v>
      </c>
      <c r="K8" s="1">
        <f>IF(I8&lt;=10000,100,IF(AND(I8&gt;10000,I8&lt;=20000),200,300))</f>
        <v>100</v>
      </c>
      <c r="L8" s="6">
        <v>1500</v>
      </c>
      <c r="M8" s="29">
        <f>SUM(J8:L8)</f>
        <v>2037.5</v>
      </c>
      <c r="N8" s="13">
        <f>I8-M8</f>
        <v>4087.5</v>
      </c>
    </row>
    <row r="9" spans="1:14" x14ac:dyDescent="0.25">
      <c r="A9" s="3" t="s">
        <v>58</v>
      </c>
      <c r="B9" s="6" t="s">
        <v>57</v>
      </c>
      <c r="C9" s="6" t="s">
        <v>45</v>
      </c>
      <c r="D9" s="3" t="s">
        <v>56</v>
      </c>
      <c r="E9" s="6">
        <v>4500</v>
      </c>
      <c r="F9" s="1">
        <f>E9*52%</f>
        <v>2340</v>
      </c>
      <c r="G9" s="2">
        <f>IF(D9="A",E9*25%,IF(D9="B",E9*15%,E9*10%))</f>
        <v>1125</v>
      </c>
      <c r="H9" s="1">
        <f>E9*8%</f>
        <v>360</v>
      </c>
      <c r="I9" s="31">
        <f>SUM(E9:H9)</f>
        <v>8325</v>
      </c>
      <c r="J9" s="30">
        <f>E9*12.5%</f>
        <v>562.5</v>
      </c>
      <c r="K9" s="1">
        <f>IF(I9&lt;=10000,100,IF(AND(I9&gt;10000,I9&lt;=20000),200,300))</f>
        <v>100</v>
      </c>
      <c r="L9" s="6">
        <v>800</v>
      </c>
      <c r="M9" s="29">
        <f>SUM(J9:L9)</f>
        <v>1462.5</v>
      </c>
      <c r="N9" s="13">
        <f>I9-M9</f>
        <v>6862.5</v>
      </c>
    </row>
    <row r="10" spans="1:14" x14ac:dyDescent="0.25">
      <c r="A10" s="3" t="s">
        <v>55</v>
      </c>
      <c r="B10" s="6" t="s">
        <v>54</v>
      </c>
      <c r="C10" s="6" t="s">
        <v>38</v>
      </c>
      <c r="D10" s="3" t="s">
        <v>53</v>
      </c>
      <c r="E10" s="6">
        <v>7400</v>
      </c>
      <c r="F10" s="1">
        <f>E10*52%</f>
        <v>3848</v>
      </c>
      <c r="G10" s="2">
        <f>IF(D10="A",E10*25%,IF(D10="B",E10*15%,E10*10%))</f>
        <v>1110</v>
      </c>
      <c r="H10" s="1">
        <f>E10*8%</f>
        <v>592</v>
      </c>
      <c r="I10" s="31">
        <f>SUM(E10:H10)</f>
        <v>12950</v>
      </c>
      <c r="J10" s="30">
        <f>E10*12.5%</f>
        <v>925</v>
      </c>
      <c r="K10" s="1">
        <f>IF(I10&lt;=10000,100,IF(AND(I10&gt;10000,I10&lt;=20000),200,300))</f>
        <v>200</v>
      </c>
      <c r="L10" s="6">
        <v>950</v>
      </c>
      <c r="M10" s="29">
        <f>SUM(J10:L10)</f>
        <v>2075</v>
      </c>
      <c r="N10" s="13">
        <f>I10-M10</f>
        <v>10875</v>
      </c>
    </row>
    <row r="11" spans="1:14" x14ac:dyDescent="0.25">
      <c r="A11" s="3" t="s">
        <v>52</v>
      </c>
      <c r="B11" s="6" t="s">
        <v>19</v>
      </c>
      <c r="C11" s="6" t="s">
        <v>51</v>
      </c>
      <c r="D11" s="3" t="s">
        <v>50</v>
      </c>
      <c r="E11" s="6">
        <v>14200</v>
      </c>
      <c r="F11" s="1">
        <f>E11*52%</f>
        <v>7384</v>
      </c>
      <c r="G11" s="2">
        <f>IF(D11="A",E11*25%,IF(D11="B",E11*15%,E11*10%))</f>
        <v>1420</v>
      </c>
      <c r="H11" s="1">
        <f>E11*8%</f>
        <v>1136</v>
      </c>
      <c r="I11" s="31">
        <f>SUM(E11:H11)</f>
        <v>24140</v>
      </c>
      <c r="J11" s="30">
        <f>E11*12.5%</f>
        <v>1775</v>
      </c>
      <c r="K11" s="1">
        <f>IF(I11&lt;=10000,100,IF(AND(I11&gt;10000,I11&lt;=20000),200,300))</f>
        <v>300</v>
      </c>
      <c r="L11" s="6">
        <v>1500</v>
      </c>
      <c r="M11" s="29">
        <f>SUM(J11:L11)</f>
        <v>3575</v>
      </c>
      <c r="N11" s="13">
        <f>I11-M11</f>
        <v>20565</v>
      </c>
    </row>
    <row r="14" spans="1:14" x14ac:dyDescent="0.25">
      <c r="C14" s="26" t="s">
        <v>78</v>
      </c>
      <c r="D14" s="24" t="s">
        <v>77</v>
      </c>
      <c r="E14" s="24"/>
      <c r="F14" s="24"/>
      <c r="G14" s="24"/>
    </row>
    <row r="15" spans="1:14" ht="47.25" customHeight="1" x14ac:dyDescent="0.25">
      <c r="C15" s="26" t="s">
        <v>76</v>
      </c>
      <c r="D15" s="25" t="s">
        <v>75</v>
      </c>
      <c r="E15" s="25"/>
      <c r="F15" s="25"/>
      <c r="G15" s="25"/>
    </row>
    <row r="16" spans="1:14" x14ac:dyDescent="0.25">
      <c r="C16" s="26" t="s">
        <v>74</v>
      </c>
      <c r="D16" s="24" t="s">
        <v>73</v>
      </c>
      <c r="E16" s="24"/>
      <c r="F16" s="24"/>
      <c r="G16" s="24"/>
    </row>
    <row r="17" spans="3:7" x14ac:dyDescent="0.25">
      <c r="C17" s="28"/>
      <c r="D17" s="27"/>
    </row>
    <row r="18" spans="3:7" x14ac:dyDescent="0.25">
      <c r="C18" s="26" t="s">
        <v>72</v>
      </c>
      <c r="D18" s="24" t="s">
        <v>71</v>
      </c>
      <c r="E18" s="24"/>
      <c r="F18" s="24"/>
      <c r="G18" s="24"/>
    </row>
    <row r="19" spans="3:7" ht="50.25" customHeight="1" x14ac:dyDescent="0.25">
      <c r="C19" s="26" t="s">
        <v>70</v>
      </c>
      <c r="D19" s="25" t="s">
        <v>69</v>
      </c>
      <c r="E19" s="24"/>
      <c r="F19" s="24"/>
      <c r="G19" s="24"/>
    </row>
    <row r="33" spans="2:26" ht="45" x14ac:dyDescent="0.25">
      <c r="B33" s="23" t="s">
        <v>49</v>
      </c>
      <c r="C33" s="23" t="s">
        <v>48</v>
      </c>
      <c r="D33" s="23" t="s">
        <v>47</v>
      </c>
      <c r="E33" s="23" t="s">
        <v>68</v>
      </c>
    </row>
    <row r="34" spans="2:26" x14ac:dyDescent="0.25">
      <c r="B34" s="21" t="s">
        <v>46</v>
      </c>
      <c r="C34" s="22" t="s">
        <v>35</v>
      </c>
      <c r="D34" s="22" t="s">
        <v>45</v>
      </c>
      <c r="E34" s="21" t="s">
        <v>56</v>
      </c>
      <c r="Z34">
        <v>15</v>
      </c>
    </row>
    <row r="35" spans="2:26" x14ac:dyDescent="0.25">
      <c r="B35" s="21" t="s">
        <v>44</v>
      </c>
      <c r="C35" s="22" t="s">
        <v>34</v>
      </c>
      <c r="D35" s="22" t="s">
        <v>43</v>
      </c>
      <c r="E35" s="21" t="s">
        <v>53</v>
      </c>
    </row>
    <row r="36" spans="2:26" x14ac:dyDescent="0.25">
      <c r="B36" s="21" t="s">
        <v>42</v>
      </c>
      <c r="C36" s="22" t="s">
        <v>18</v>
      </c>
      <c r="D36" s="22" t="s">
        <v>41</v>
      </c>
      <c r="E36" s="21" t="s">
        <v>56</v>
      </c>
    </row>
    <row r="37" spans="2:26" x14ac:dyDescent="0.25">
      <c r="B37" s="21" t="s">
        <v>67</v>
      </c>
      <c r="C37" s="22" t="s">
        <v>66</v>
      </c>
      <c r="D37" s="22" t="s">
        <v>59</v>
      </c>
      <c r="E37" s="21" t="s">
        <v>56</v>
      </c>
    </row>
    <row r="38" spans="2:26" x14ac:dyDescent="0.25">
      <c r="B38" s="21" t="s">
        <v>65</v>
      </c>
      <c r="C38" s="22" t="s">
        <v>64</v>
      </c>
      <c r="D38" s="22" t="s">
        <v>63</v>
      </c>
      <c r="E38" s="21" t="s">
        <v>50</v>
      </c>
    </row>
    <row r="39" spans="2:26" x14ac:dyDescent="0.25">
      <c r="B39" s="21" t="s">
        <v>62</v>
      </c>
      <c r="C39" s="22" t="s">
        <v>36</v>
      </c>
      <c r="D39" s="22" t="s">
        <v>61</v>
      </c>
      <c r="E39" s="21" t="s">
        <v>50</v>
      </c>
    </row>
    <row r="40" spans="2:26" x14ac:dyDescent="0.25">
      <c r="B40" s="21" t="s">
        <v>60</v>
      </c>
      <c r="C40" s="22" t="s">
        <v>15</v>
      </c>
      <c r="D40" s="22" t="s">
        <v>59</v>
      </c>
      <c r="E40" s="21" t="s">
        <v>53</v>
      </c>
    </row>
    <row r="41" spans="2:26" x14ac:dyDescent="0.25">
      <c r="B41" s="21" t="s">
        <v>58</v>
      </c>
      <c r="C41" s="22" t="s">
        <v>57</v>
      </c>
      <c r="D41" s="22" t="s">
        <v>45</v>
      </c>
      <c r="E41" s="21" t="s">
        <v>56</v>
      </c>
    </row>
    <row r="42" spans="2:26" x14ac:dyDescent="0.25">
      <c r="B42" s="21" t="s">
        <v>55</v>
      </c>
      <c r="C42" s="22" t="s">
        <v>54</v>
      </c>
      <c r="D42" s="22" t="s">
        <v>38</v>
      </c>
      <c r="E42" s="21" t="s">
        <v>53</v>
      </c>
    </row>
    <row r="43" spans="2:26" x14ac:dyDescent="0.25">
      <c r="B43" s="21" t="s">
        <v>52</v>
      </c>
      <c r="C43" s="22" t="s">
        <v>19</v>
      </c>
      <c r="D43" s="22" t="s">
        <v>51</v>
      </c>
      <c r="E43" s="21" t="s">
        <v>50</v>
      </c>
    </row>
    <row r="97" spans="26:26" x14ac:dyDescent="0.25">
      <c r="Z97">
        <v>5</v>
      </c>
    </row>
    <row r="150" spans="25:25" x14ac:dyDescent="0.25">
      <c r="Y150">
        <v>5</v>
      </c>
    </row>
    <row r="167" spans="5:5" x14ac:dyDescent="0.25">
      <c r="E167">
        <v>5</v>
      </c>
    </row>
    <row r="500" spans="1:3" ht="30" x14ac:dyDescent="0.25">
      <c r="A500" s="20" t="s">
        <v>49</v>
      </c>
      <c r="B500" s="20" t="s">
        <v>48</v>
      </c>
      <c r="C500" s="20" t="s">
        <v>47</v>
      </c>
    </row>
    <row r="501" spans="1:3" x14ac:dyDescent="0.25">
      <c r="A501" s="3" t="s">
        <v>46</v>
      </c>
      <c r="B501" s="6" t="s">
        <v>35</v>
      </c>
      <c r="C501" s="6" t="s">
        <v>45</v>
      </c>
    </row>
    <row r="502" spans="1:3" x14ac:dyDescent="0.25">
      <c r="A502" s="3" t="s">
        <v>44</v>
      </c>
      <c r="B502" s="6" t="s">
        <v>34</v>
      </c>
      <c r="C502" s="6" t="s">
        <v>43</v>
      </c>
    </row>
    <row r="503" spans="1:3" x14ac:dyDescent="0.25">
      <c r="A503" s="3" t="s">
        <v>42</v>
      </c>
      <c r="B503" s="6" t="s">
        <v>18</v>
      </c>
      <c r="C503" s="6" t="s">
        <v>41</v>
      </c>
    </row>
  </sheetData>
  <mergeCells count="5">
    <mergeCell ref="D14:G14"/>
    <mergeCell ref="D15:G15"/>
    <mergeCell ref="D16:G16"/>
    <mergeCell ref="D18:G18"/>
    <mergeCell ref="D19:G19"/>
  </mergeCells>
  <printOptions horizontalCentered="1" headings="1" gridLines="1"/>
  <pageMargins left="0.7" right="0.7" top="0.75" bottom="0.75" header="0.3" footer="0.3"/>
  <pageSetup paperSize="9" orientation="portrait" verticalDpi="0" r:id="rId1"/>
  <headerFooter>
    <oddFooter>&amp;LABC COMPANY, BANGALORE&amp;C&amp;Z&amp;F\&amp;F&amp;R&amp;P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function</vt:lpstr>
      <vt:lpstr>salary statement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2024-01-30T09:51:48Z</dcterms:created>
  <dcterms:modified xsi:type="dcterms:W3CDTF">2024-01-30T09:53:03Z</dcterms:modified>
</cp:coreProperties>
</file>