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 activeTab="1"/>
  </bookViews>
  <sheets>
    <sheet name="salary statement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H11" i="1"/>
  <c r="I11" i="1" s="1"/>
  <c r="G11" i="1"/>
  <c r="F11" i="1"/>
  <c r="J10" i="1"/>
  <c r="H10" i="1"/>
  <c r="I10" i="1" s="1"/>
  <c r="G10" i="1"/>
  <c r="F10" i="1"/>
  <c r="J9" i="1"/>
  <c r="H9" i="1"/>
  <c r="I9" i="1" s="1"/>
  <c r="G9" i="1"/>
  <c r="F9" i="1"/>
  <c r="J8" i="1"/>
  <c r="H8" i="1"/>
  <c r="I8" i="1" s="1"/>
  <c r="G8" i="1"/>
  <c r="F8" i="1"/>
  <c r="J7" i="1"/>
  <c r="H7" i="1"/>
  <c r="I7" i="1" s="1"/>
  <c r="G7" i="1"/>
  <c r="F7" i="1"/>
  <c r="J6" i="1"/>
  <c r="H6" i="1"/>
  <c r="I6" i="1" s="1"/>
  <c r="G6" i="1"/>
  <c r="F6" i="1"/>
  <c r="J5" i="1"/>
  <c r="H5" i="1"/>
  <c r="I5" i="1" s="1"/>
  <c r="G5" i="1"/>
  <c r="F5" i="1"/>
  <c r="J4" i="1"/>
  <c r="H4" i="1"/>
  <c r="I4" i="1" s="1"/>
  <c r="G4" i="1"/>
  <c r="F4" i="1"/>
  <c r="J3" i="1"/>
  <c r="H3" i="1"/>
  <c r="I3" i="1" s="1"/>
  <c r="G3" i="1"/>
  <c r="F3" i="1"/>
  <c r="J2" i="1"/>
  <c r="H2" i="1"/>
  <c r="I2" i="1" s="1"/>
  <c r="G2" i="1"/>
  <c r="F2" i="1"/>
  <c r="K2" i="1" l="1"/>
  <c r="M2" i="1" s="1"/>
  <c r="N2" i="1" s="1"/>
  <c r="K3" i="1"/>
  <c r="M3" i="1" s="1"/>
  <c r="N3" i="1"/>
  <c r="K4" i="1"/>
  <c r="M4" i="1" s="1"/>
  <c r="N4" i="1" s="1"/>
  <c r="K6" i="1"/>
  <c r="M6" i="1" s="1"/>
  <c r="N6" i="1"/>
  <c r="K7" i="1"/>
  <c r="M7" i="1" s="1"/>
  <c r="N7" i="1" s="1"/>
  <c r="K8" i="1"/>
  <c r="M8" i="1" s="1"/>
  <c r="N8" i="1"/>
  <c r="K9" i="1"/>
  <c r="M9" i="1" s="1"/>
  <c r="N9" i="1" s="1"/>
  <c r="K10" i="1"/>
  <c r="M10" i="1" s="1"/>
  <c r="N10" i="1"/>
  <c r="K11" i="1"/>
  <c r="K5" i="1"/>
  <c r="M5" i="1" s="1"/>
  <c r="N5" i="1"/>
  <c r="M11" i="1"/>
  <c r="N11" i="1" s="1"/>
</calcChain>
</file>

<file path=xl/sharedStrings.xml><?xml version="1.0" encoding="utf-8"?>
<sst xmlns="http://schemas.openxmlformats.org/spreadsheetml/2006/main" count="166" uniqueCount="71">
  <si>
    <t>Emp Id</t>
  </si>
  <si>
    <t>Emp Name</t>
  </si>
  <si>
    <t>Designation</t>
  </si>
  <si>
    <t>City type</t>
  </si>
  <si>
    <t>Basic</t>
  </si>
  <si>
    <t>DA</t>
  </si>
  <si>
    <t>HRA</t>
  </si>
  <si>
    <t>TA</t>
  </si>
  <si>
    <t>Gross salary</t>
  </si>
  <si>
    <t>PF</t>
  </si>
  <si>
    <t>PT</t>
  </si>
  <si>
    <t>Insurance</t>
  </si>
  <si>
    <t>Deduction Total</t>
  </si>
  <si>
    <t>Net Salary</t>
  </si>
  <si>
    <t>E001</t>
  </si>
  <si>
    <t>Naveen</t>
  </si>
  <si>
    <t>Manager</t>
  </si>
  <si>
    <t>A</t>
  </si>
  <si>
    <t>E002</t>
  </si>
  <si>
    <t>Vinay</t>
  </si>
  <si>
    <t>Sales Manager</t>
  </si>
  <si>
    <t>B</t>
  </si>
  <si>
    <t>E003</t>
  </si>
  <si>
    <t>Rajesh</t>
  </si>
  <si>
    <t>Administrator</t>
  </si>
  <si>
    <t>E004</t>
  </si>
  <si>
    <t>Anand</t>
  </si>
  <si>
    <t>Trainer</t>
  </si>
  <si>
    <t>E005</t>
  </si>
  <si>
    <t>Mahendra</t>
  </si>
  <si>
    <t>Coordinator</t>
  </si>
  <si>
    <t>C</t>
  </si>
  <si>
    <t>E006</t>
  </si>
  <si>
    <t>Kumar</t>
  </si>
  <si>
    <t>Clerk</t>
  </si>
  <si>
    <t>E007</t>
  </si>
  <si>
    <t>Daya</t>
  </si>
  <si>
    <t>E008</t>
  </si>
  <si>
    <t>Sanjana</t>
  </si>
  <si>
    <t>E009</t>
  </si>
  <si>
    <t>Pooja</t>
  </si>
  <si>
    <t>Sales rep</t>
  </si>
  <si>
    <t>E010</t>
  </si>
  <si>
    <t>Mahesh</t>
  </si>
  <si>
    <t>Marketing Executive</t>
  </si>
  <si>
    <t>52% of basic</t>
  </si>
  <si>
    <t>City type A, 25% of Basic
City type B, 15% of Basic
City type C, 10% of Basic</t>
  </si>
  <si>
    <t>8% of Basic</t>
  </si>
  <si>
    <t>12.5% of Basic</t>
  </si>
  <si>
    <t>Gross Salary &lt;=10000,100
Gross Salary &gt;10000 and &lt;=20000 ,200
Gross Salary &gt; 20000,300</t>
  </si>
  <si>
    <t>Product 1</t>
  </si>
  <si>
    <t>Product Income/loss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</si>
  <si>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</si>
  <si>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</si>
  <si>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</si>
  <si>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</si>
  <si>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</si>
  <si>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</si>
  <si>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</si>
  <si>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</si>
  <si>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Qty</t>
  </si>
  <si>
    <t>Text</t>
  </si>
  <si>
    <t>Name</t>
  </si>
  <si>
    <t>Ravi</t>
  </si>
  <si>
    <t>Prakash</t>
  </si>
  <si>
    <t>Marks</t>
  </si>
  <si>
    <t>Company1</t>
  </si>
  <si>
    <t>Company2</t>
  </si>
  <si>
    <t>Company3</t>
  </si>
  <si>
    <t>Company4</t>
  </si>
  <si>
    <t>Company5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</si>
</sst>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5" formatCode=";;;"/>
    <numFmt numFmtId="166" formatCode="General;[Red]\-General"/>
    <numFmt numFmtId="167" formatCode="General;[Red]\(General\)"/>
    <numFmt numFmtId="168" formatCode="General\ &quot;Million&quot;"/>
    <numFmt numFmtId="169" formatCode="[&lt;35]&quot;Fail&quot;;&quot;Pass&quot;"/>
    <numFmt numFmtId="171" formatCode="0.0,,\ &quot;Million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3" fillId="0" borderId="1" xfId="0" quotePrefix="1" applyFont="1" applyBorder="1" applyAlignment="1">
      <alignment wrapText="1"/>
    </xf>
    <xf numFmtId="0" fontId="4" fillId="0" borderId="1" xfId="0" quotePrefix="1" applyFont="1" applyBorder="1" applyAlignment="1">
      <alignment wrapText="1"/>
    </xf>
    <xf numFmtId="1" fontId="0" fillId="0" borderId="1" xfId="0" quotePrefix="1" applyNumberFormat="1" applyBorder="1" applyAlignment="1">
      <alignment wrapText="1"/>
    </xf>
    <xf numFmtId="0" fontId="0" fillId="0" borderId="1" xfId="0" applyBorder="1" applyAlignment="1">
      <alignment wrapText="1"/>
    </xf>
    <xf numFmtId="1" fontId="2" fillId="0" borderId="1" xfId="0" quotePrefix="1" applyNumberFormat="1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0" xfId="0" applyFill="1"/>
    <xf numFmtId="0" fontId="0" fillId="0" borderId="0" xfId="0" applyFill="1" applyBorder="1" applyAlignment="1">
      <alignment horizontal="left"/>
    </xf>
    <xf numFmtId="0" fontId="3" fillId="0" borderId="0" xfId="0" applyFont="1" applyFill="1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1" quotePrefix="1" applyNumberFormat="1" applyFont="1" applyBorder="1" applyAlignment="1">
      <alignment wrapText="1"/>
    </xf>
    <xf numFmtId="0" fontId="0" fillId="0" borderId="0" xfId="0" applyFill="1" applyBorder="1" applyAlignment="1">
      <alignment horizontal="center"/>
    </xf>
    <xf numFmtId="0" fontId="0" fillId="0" borderId="0" xfId="0"/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1" xfId="0" applyNumberFormat="1" applyBorder="1"/>
    <xf numFmtId="171" fontId="0" fillId="0" borderId="0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3"/>
  <sheetViews>
    <sheetView topLeftCell="A44" zoomScale="130" zoomScaleNormal="130" workbookViewId="0">
      <selection activeCell="C45" sqref="C45:E54"/>
    </sheetView>
  </sheetViews>
  <sheetFormatPr defaultRowHeight="15" x14ac:dyDescent="0.25"/>
  <cols>
    <col min="1" max="1" width="7.140625" customWidth="1"/>
    <col min="2" max="2" width="10.42578125" customWidth="1"/>
    <col min="3" max="3" width="19.28515625" bestFit="1" customWidth="1"/>
    <col min="4" max="4" width="6.42578125" customWidth="1"/>
    <col min="5" max="5" width="10" customWidth="1"/>
    <col min="6" max="6" width="7.42578125" customWidth="1"/>
    <col min="7" max="7" width="12.85546875" customWidth="1"/>
    <col min="8" max="8" width="7.28515625" customWidth="1"/>
    <col min="9" max="9" width="7" customWidth="1"/>
    <col min="10" max="10" width="5.28515625" customWidth="1"/>
    <col min="11" max="11" width="15.42578125" customWidth="1"/>
    <col min="12" max="12" width="7.140625" customWidth="1"/>
    <col min="13" max="13" width="13" customWidth="1"/>
    <col min="14" max="14" width="10.7109375" bestFit="1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4" t="s">
        <v>15</v>
      </c>
      <c r="C2" s="4" t="s">
        <v>16</v>
      </c>
      <c r="D2" s="3" t="s">
        <v>17</v>
      </c>
      <c r="E2" s="4">
        <v>15000</v>
      </c>
      <c r="F2" s="5">
        <f>E2*52%</f>
        <v>7800</v>
      </c>
      <c r="G2" s="6">
        <f>IF(D2="A",E2*25%,IF(D2="B",E2*15%,E2*10%))</f>
        <v>3750</v>
      </c>
      <c r="H2" s="5">
        <f>E2*8%</f>
        <v>1200</v>
      </c>
      <c r="I2" s="7">
        <f>SUM(E2:H2)</f>
        <v>27750</v>
      </c>
      <c r="J2" s="8">
        <f>E2*12.5%</f>
        <v>1875</v>
      </c>
      <c r="K2" s="5">
        <f>IF(I2&lt;=10000,100,IF(AND(I2&gt;10000,I2&lt;20000),200,300))</f>
        <v>300</v>
      </c>
      <c r="L2" s="9">
        <v>500</v>
      </c>
      <c r="M2" s="10">
        <f>SUM(J2:L2)</f>
        <v>2675</v>
      </c>
      <c r="N2" s="19">
        <f>I2-M2</f>
        <v>25075</v>
      </c>
    </row>
    <row r="3" spans="1:14" x14ac:dyDescent="0.25">
      <c r="A3" s="3" t="s">
        <v>18</v>
      </c>
      <c r="B3" s="4" t="s">
        <v>19</v>
      </c>
      <c r="C3" s="4" t="s">
        <v>20</v>
      </c>
      <c r="D3" s="3" t="s">
        <v>21</v>
      </c>
      <c r="E3" s="4">
        <v>5888</v>
      </c>
      <c r="F3" s="5">
        <f>E3*52%</f>
        <v>3061.76</v>
      </c>
      <c r="G3" s="6">
        <f>IF(D3="A",E3*25%,IF(D3="B",E3*15%,E3*10%))</f>
        <v>883.19999999999993</v>
      </c>
      <c r="H3" s="5">
        <f>E3*8%</f>
        <v>471.04</v>
      </c>
      <c r="I3" s="7">
        <f>SUM(E3:H3)</f>
        <v>10304.000000000002</v>
      </c>
      <c r="J3" s="8">
        <f>E3*12.5%</f>
        <v>736</v>
      </c>
      <c r="K3" s="5">
        <f>IF(I3&lt;=10000,100,IF(AND(I3&gt;10000,I3&lt;20000),200,300))</f>
        <v>200</v>
      </c>
      <c r="L3" s="4">
        <v>200</v>
      </c>
      <c r="M3" s="10">
        <f>SUM(J3:L3)</f>
        <v>1136</v>
      </c>
      <c r="N3" s="19">
        <f>I3-M3</f>
        <v>9168.0000000000018</v>
      </c>
    </row>
    <row r="4" spans="1:14" x14ac:dyDescent="0.25">
      <c r="A4" s="3" t="s">
        <v>22</v>
      </c>
      <c r="B4" s="4" t="s">
        <v>23</v>
      </c>
      <c r="C4" s="4" t="s">
        <v>24</v>
      </c>
      <c r="D4" s="3" t="s">
        <v>17</v>
      </c>
      <c r="E4" s="4">
        <v>8888</v>
      </c>
      <c r="F4" s="5">
        <f>E4*52%</f>
        <v>4621.76</v>
      </c>
      <c r="G4" s="6">
        <f>IF(D4="A",E4*25%,IF(D4="B",E4*15%,E4*10%))</f>
        <v>2222</v>
      </c>
      <c r="H4" s="5">
        <f>E4*8%</f>
        <v>711.04</v>
      </c>
      <c r="I4" s="7">
        <f>SUM(E4:H4)</f>
        <v>16442.8</v>
      </c>
      <c r="J4" s="8">
        <f>E4*12.5%</f>
        <v>1111</v>
      </c>
      <c r="K4" s="5">
        <f>IF(I4&lt;=10000,100,IF(AND(I4&gt;10000,I4&lt;20000),200,300))</f>
        <v>200</v>
      </c>
      <c r="L4" s="4">
        <v>3500</v>
      </c>
      <c r="M4" s="10">
        <f>SUM(J4:L4)</f>
        <v>4811</v>
      </c>
      <c r="N4" s="19">
        <f>I4-M4</f>
        <v>11631.8</v>
      </c>
    </row>
    <row r="5" spans="1:14" x14ac:dyDescent="0.25">
      <c r="A5" s="3" t="s">
        <v>25</v>
      </c>
      <c r="B5" s="4" t="s">
        <v>26</v>
      </c>
      <c r="C5" s="4" t="s">
        <v>27</v>
      </c>
      <c r="D5" s="3" t="s">
        <v>17</v>
      </c>
      <c r="E5" s="4">
        <v>6500</v>
      </c>
      <c r="F5" s="5">
        <f>E5*52%</f>
        <v>3380</v>
      </c>
      <c r="G5" s="6">
        <f>IF(D5="A",E5*25%,IF(D5="B",E5*15%,E5*10%))</f>
        <v>1625</v>
      </c>
      <c r="H5" s="5">
        <f>E5*8%</f>
        <v>520</v>
      </c>
      <c r="I5" s="7">
        <f>SUM(E5:H5)</f>
        <v>12025</v>
      </c>
      <c r="J5" s="8">
        <f>E5*12.5%</f>
        <v>812.5</v>
      </c>
      <c r="K5" s="5">
        <f>IF(I5&lt;=10000,100,IF(AND(I5&gt;10000,I5&lt;20000),200,300))</f>
        <v>200</v>
      </c>
      <c r="L5" s="4">
        <v>2500</v>
      </c>
      <c r="M5" s="10">
        <f>SUM(J5:L5)</f>
        <v>3512.5</v>
      </c>
      <c r="N5" s="19">
        <f>I5-M5</f>
        <v>8512.5</v>
      </c>
    </row>
    <row r="6" spans="1:14" x14ac:dyDescent="0.25">
      <c r="A6" s="3" t="s">
        <v>28</v>
      </c>
      <c r="B6" s="4" t="s">
        <v>29</v>
      </c>
      <c r="C6" s="4" t="s">
        <v>30</v>
      </c>
      <c r="D6" s="3" t="s">
        <v>31</v>
      </c>
      <c r="E6" s="4">
        <v>15000</v>
      </c>
      <c r="F6" s="5">
        <f>E6*52%</f>
        <v>7800</v>
      </c>
      <c r="G6" s="6">
        <f>IF(D6="A",E6*25%,IF(D6="B",E6*15%,E6*10%))</f>
        <v>1500</v>
      </c>
      <c r="H6" s="5">
        <f>E6*8%</f>
        <v>1200</v>
      </c>
      <c r="I6" s="7">
        <f>SUM(E6:H6)</f>
        <v>25500</v>
      </c>
      <c r="J6" s="8">
        <f>E6*12.5%</f>
        <v>1875</v>
      </c>
      <c r="K6" s="5">
        <f>IF(I6&lt;=10000,100,IF(AND(I6&gt;10000,I6&lt;20000),200,300))</f>
        <v>300</v>
      </c>
      <c r="L6" s="4">
        <v>2000</v>
      </c>
      <c r="M6" s="10">
        <f>SUM(J6:L6)</f>
        <v>4175</v>
      </c>
      <c r="N6" s="19">
        <f>I6-M6</f>
        <v>21325</v>
      </c>
    </row>
    <row r="7" spans="1:14" x14ac:dyDescent="0.25">
      <c r="A7" s="3" t="s">
        <v>32</v>
      </c>
      <c r="B7" s="4" t="s">
        <v>33</v>
      </c>
      <c r="C7" s="4" t="s">
        <v>34</v>
      </c>
      <c r="D7" s="3" t="s">
        <v>31</v>
      </c>
      <c r="E7" s="4">
        <v>6500</v>
      </c>
      <c r="F7" s="5">
        <f>E7*52%</f>
        <v>3380</v>
      </c>
      <c r="G7" s="6">
        <f>IF(D7="A",E7*25%,IF(D7="B",E7*15%,E7*10%))</f>
        <v>650</v>
      </c>
      <c r="H7" s="5">
        <f>E7*8%</f>
        <v>520</v>
      </c>
      <c r="I7" s="7">
        <f>SUM(E7:H7)</f>
        <v>11050</v>
      </c>
      <c r="J7" s="8">
        <f>E7*12.5%</f>
        <v>812.5</v>
      </c>
      <c r="K7" s="5">
        <f>IF(I7&lt;=10000,100,IF(AND(I7&gt;10000,I7&lt;20000),200,300))</f>
        <v>200</v>
      </c>
      <c r="L7" s="4">
        <v>3200</v>
      </c>
      <c r="M7" s="10">
        <f>SUM(J7:L7)</f>
        <v>4212.5</v>
      </c>
      <c r="N7" s="19">
        <f>I7-M7</f>
        <v>6837.5</v>
      </c>
    </row>
    <row r="8" spans="1:14" x14ac:dyDescent="0.25">
      <c r="A8" s="3" t="s">
        <v>35</v>
      </c>
      <c r="B8" s="4" t="s">
        <v>36</v>
      </c>
      <c r="C8" s="4" t="s">
        <v>27</v>
      </c>
      <c r="D8" s="3" t="s">
        <v>21</v>
      </c>
      <c r="E8" s="4">
        <v>3500</v>
      </c>
      <c r="F8" s="5">
        <f>E8*52%</f>
        <v>1820</v>
      </c>
      <c r="G8" s="6">
        <f>IF(D8="A",E8*25%,IF(D8="B",E8*15%,E8*10%))</f>
        <v>525</v>
      </c>
      <c r="H8" s="5">
        <f>E8*8%</f>
        <v>280</v>
      </c>
      <c r="I8" s="7">
        <f>SUM(E8:H8)</f>
        <v>6125</v>
      </c>
      <c r="J8" s="8">
        <f>E8*12.5%</f>
        <v>437.5</v>
      </c>
      <c r="K8" s="5">
        <f>IF(I8&lt;=10000,100,IF(AND(I8&gt;10000,I8&lt;20000),200,300))</f>
        <v>100</v>
      </c>
      <c r="L8" s="4">
        <v>1500</v>
      </c>
      <c r="M8" s="10">
        <f>SUM(J8:L8)</f>
        <v>2037.5</v>
      </c>
      <c r="N8" s="19">
        <f>I8-M8</f>
        <v>4087.5</v>
      </c>
    </row>
    <row r="9" spans="1:14" x14ac:dyDescent="0.25">
      <c r="A9" s="3" t="s">
        <v>37</v>
      </c>
      <c r="B9" s="4" t="s">
        <v>38</v>
      </c>
      <c r="C9" s="4" t="s">
        <v>16</v>
      </c>
      <c r="D9" s="3" t="s">
        <v>17</v>
      </c>
      <c r="E9" s="4">
        <v>4500</v>
      </c>
      <c r="F9" s="5">
        <f>E9*52%</f>
        <v>2340</v>
      </c>
      <c r="G9" s="6">
        <f>IF(D9="A",E9*25%,IF(D9="B",E9*15%,E9*10%))</f>
        <v>1125</v>
      </c>
      <c r="H9" s="5">
        <f>E9*8%</f>
        <v>360</v>
      </c>
      <c r="I9" s="7">
        <f>SUM(E9:H9)</f>
        <v>8325</v>
      </c>
      <c r="J9" s="8">
        <f>E9*12.5%</f>
        <v>562.5</v>
      </c>
      <c r="K9" s="5">
        <f>IF(I9&lt;=10000,100,IF(AND(I9&gt;10000,I9&lt;20000),200,300))</f>
        <v>100</v>
      </c>
      <c r="L9" s="4">
        <v>800</v>
      </c>
      <c r="M9" s="10">
        <f>SUM(J9:L9)</f>
        <v>1462.5</v>
      </c>
      <c r="N9" s="19">
        <f>I9-M9</f>
        <v>6862.5</v>
      </c>
    </row>
    <row r="10" spans="1:14" x14ac:dyDescent="0.25">
      <c r="A10" s="3" t="s">
        <v>39</v>
      </c>
      <c r="B10" s="4" t="s">
        <v>40</v>
      </c>
      <c r="C10" s="4" t="s">
        <v>41</v>
      </c>
      <c r="D10" s="3" t="s">
        <v>21</v>
      </c>
      <c r="E10" s="4">
        <v>7400</v>
      </c>
      <c r="F10" s="5">
        <f>E10*52%</f>
        <v>3848</v>
      </c>
      <c r="G10" s="6">
        <f>IF(D10="A",E10*25%,IF(D10="B",E10*15%,E10*10%))</f>
        <v>1110</v>
      </c>
      <c r="H10" s="5">
        <f>E10*8%</f>
        <v>592</v>
      </c>
      <c r="I10" s="7">
        <f>SUM(E10:H10)</f>
        <v>12950</v>
      </c>
      <c r="J10" s="8">
        <f>E10*12.5%</f>
        <v>925</v>
      </c>
      <c r="K10" s="5">
        <f>IF(I10&lt;=10000,100,IF(AND(I10&gt;10000,I10&lt;20000),200,300))</f>
        <v>200</v>
      </c>
      <c r="L10" s="4">
        <v>950</v>
      </c>
      <c r="M10" s="10">
        <f>SUM(J10:L10)</f>
        <v>2075</v>
      </c>
      <c r="N10" s="19">
        <f>I10-M10</f>
        <v>10875</v>
      </c>
    </row>
    <row r="11" spans="1:14" x14ac:dyDescent="0.25">
      <c r="A11" s="3" t="s">
        <v>42</v>
      </c>
      <c r="B11" s="4" t="s">
        <v>43</v>
      </c>
      <c r="C11" s="4" t="s">
        <v>44</v>
      </c>
      <c r="D11" s="3" t="s">
        <v>31</v>
      </c>
      <c r="E11" s="4">
        <v>14200</v>
      </c>
      <c r="F11" s="5">
        <f>E11*52%</f>
        <v>7384</v>
      </c>
      <c r="G11" s="6">
        <f>IF(D11="A",E11*25%,IF(D11="B",E11*15%,E11*10%))</f>
        <v>1420</v>
      </c>
      <c r="H11" s="5">
        <f>E11*8%</f>
        <v>1136</v>
      </c>
      <c r="I11" s="7">
        <f>SUM(E11:H11)</f>
        <v>24140</v>
      </c>
      <c r="J11" s="8">
        <f>E11*12.5%</f>
        <v>1775</v>
      </c>
      <c r="K11" s="5">
        <f>IF(I11&lt;=10000,100,IF(AND(I11&gt;10000,I11&lt;20000),200,300))</f>
        <v>300</v>
      </c>
      <c r="L11" s="4">
        <v>1500</v>
      </c>
      <c r="M11" s="10">
        <f>SUM(J11:L11)</f>
        <v>3575</v>
      </c>
      <c r="N11" s="19">
        <f>I11-M11</f>
        <v>20565</v>
      </c>
    </row>
    <row r="14" spans="1:14" x14ac:dyDescent="0.25">
      <c r="C14" s="11" t="s">
        <v>5</v>
      </c>
      <c r="D14" s="12" t="s">
        <v>45</v>
      </c>
      <c r="E14" s="12"/>
      <c r="F14" s="12"/>
      <c r="G14" s="12"/>
    </row>
    <row r="15" spans="1:14" ht="47.25" customHeight="1" x14ac:dyDescent="0.25">
      <c r="C15" s="11" t="s">
        <v>6</v>
      </c>
      <c r="D15" s="13" t="s">
        <v>46</v>
      </c>
      <c r="E15" s="13"/>
      <c r="F15" s="13"/>
      <c r="G15" s="13"/>
    </row>
    <row r="16" spans="1:14" x14ac:dyDescent="0.25">
      <c r="C16" s="11" t="s">
        <v>7</v>
      </c>
      <c r="D16" s="12" t="s">
        <v>47</v>
      </c>
      <c r="E16" s="12"/>
      <c r="F16" s="12"/>
      <c r="G16" s="12"/>
    </row>
    <row r="17" spans="3:7" x14ac:dyDescent="0.25">
      <c r="C17" s="14"/>
      <c r="D17" s="15"/>
    </row>
    <row r="18" spans="3:7" x14ac:dyDescent="0.25">
      <c r="C18" s="11" t="s">
        <v>9</v>
      </c>
      <c r="D18" s="12" t="s">
        <v>48</v>
      </c>
      <c r="E18" s="12"/>
      <c r="F18" s="12"/>
      <c r="G18" s="12"/>
    </row>
    <row r="19" spans="3:7" ht="50.25" customHeight="1" x14ac:dyDescent="0.25">
      <c r="C19" s="11" t="s">
        <v>10</v>
      </c>
      <c r="D19" s="13" t="s">
        <v>49</v>
      </c>
      <c r="E19" s="12"/>
      <c r="F19" s="12"/>
      <c r="G19" s="12"/>
    </row>
    <row r="33" spans="2:26" ht="45" x14ac:dyDescent="0.25">
      <c r="B33" s="16" t="s">
        <v>0</v>
      </c>
      <c r="C33" s="16" t="s">
        <v>1</v>
      </c>
      <c r="D33" s="16" t="s">
        <v>2</v>
      </c>
      <c r="E33" s="16" t="s">
        <v>3</v>
      </c>
    </row>
    <row r="34" spans="2:26" x14ac:dyDescent="0.25">
      <c r="B34" s="17" t="s">
        <v>14</v>
      </c>
      <c r="C34" s="18" t="s">
        <v>15</v>
      </c>
      <c r="D34" s="18" t="s">
        <v>16</v>
      </c>
      <c r="E34" s="17" t="s">
        <v>17</v>
      </c>
      <c r="Z34">
        <v>15</v>
      </c>
    </row>
    <row r="35" spans="2:26" x14ac:dyDescent="0.25">
      <c r="B35" s="17" t="s">
        <v>18</v>
      </c>
      <c r="C35" s="18" t="s">
        <v>19</v>
      </c>
      <c r="D35" s="18" t="s">
        <v>20</v>
      </c>
      <c r="E35" s="17" t="s">
        <v>21</v>
      </c>
    </row>
    <row r="36" spans="2:26" x14ac:dyDescent="0.25">
      <c r="B36" s="17" t="s">
        <v>22</v>
      </c>
      <c r="C36" s="18" t="s">
        <v>23</v>
      </c>
      <c r="D36" s="18" t="s">
        <v>24</v>
      </c>
      <c r="E36" s="17" t="s">
        <v>17</v>
      </c>
    </row>
    <row r="37" spans="2:26" x14ac:dyDescent="0.25">
      <c r="B37" s="17" t="s">
        <v>25</v>
      </c>
      <c r="C37" s="18" t="s">
        <v>26</v>
      </c>
      <c r="D37" s="18" t="s">
        <v>27</v>
      </c>
      <c r="E37" s="17" t="s">
        <v>17</v>
      </c>
    </row>
    <row r="38" spans="2:26" x14ac:dyDescent="0.25">
      <c r="B38" s="17" t="s">
        <v>28</v>
      </c>
      <c r="C38" s="18" t="s">
        <v>29</v>
      </c>
      <c r="D38" s="18" t="s">
        <v>30</v>
      </c>
      <c r="E38" s="17" t="s">
        <v>31</v>
      </c>
    </row>
    <row r="39" spans="2:26" x14ac:dyDescent="0.25">
      <c r="B39" s="17" t="s">
        <v>32</v>
      </c>
      <c r="C39" s="18" t="s">
        <v>33</v>
      </c>
      <c r="D39" s="18" t="s">
        <v>34</v>
      </c>
      <c r="E39" s="17" t="s">
        <v>31</v>
      </c>
    </row>
    <row r="40" spans="2:26" x14ac:dyDescent="0.25">
      <c r="B40" s="17" t="s">
        <v>35</v>
      </c>
      <c r="C40" s="18" t="s">
        <v>36</v>
      </c>
      <c r="D40" s="18" t="s">
        <v>27</v>
      </c>
      <c r="E40" s="17" t="s">
        <v>21</v>
      </c>
    </row>
    <row r="41" spans="2:26" x14ac:dyDescent="0.25">
      <c r="B41" s="17" t="s">
        <v>37</v>
      </c>
      <c r="C41" s="18" t="s">
        <v>38</v>
      </c>
      <c r="D41" s="18" t="s">
        <v>16</v>
      </c>
      <c r="E41" s="17" t="s">
        <v>17</v>
      </c>
    </row>
    <row r="42" spans="2:26" x14ac:dyDescent="0.25">
      <c r="B42" s="17" t="s">
        <v>39</v>
      </c>
      <c r="C42" s="18" t="s">
        <v>40</v>
      </c>
      <c r="D42" s="18" t="s">
        <v>41</v>
      </c>
      <c r="E42" s="17" t="s">
        <v>21</v>
      </c>
    </row>
    <row r="43" spans="2:26" x14ac:dyDescent="0.25">
      <c r="B43" s="17" t="s">
        <v>42</v>
      </c>
      <c r="C43" s="18" t="s">
        <v>43</v>
      </c>
      <c r="D43" s="18" t="s">
        <v>44</v>
      </c>
      <c r="E43" s="17" t="s">
        <v>31</v>
      </c>
    </row>
    <row r="97" spans="26:26" x14ac:dyDescent="0.25">
      <c r="Z97">
        <v>5</v>
      </c>
    </row>
    <row r="150" spans="25:25" x14ac:dyDescent="0.25">
      <c r="Y150">
        <v>5</v>
      </c>
    </row>
    <row r="167" spans="5:5" x14ac:dyDescent="0.25">
      <c r="E167">
        <v>5</v>
      </c>
    </row>
    <row r="500" spans="1:3" ht="30" x14ac:dyDescent="0.25">
      <c r="A500" s="1" t="s">
        <v>0</v>
      </c>
      <c r="B500" s="1" t="s">
        <v>1</v>
      </c>
      <c r="C500" s="1" t="s">
        <v>2</v>
      </c>
    </row>
    <row r="501" spans="1:3" x14ac:dyDescent="0.25">
      <c r="A501" s="3" t="s">
        <v>14</v>
      </c>
      <c r="B501" s="4" t="s">
        <v>15</v>
      </c>
      <c r="C501" s="4" t="s">
        <v>16</v>
      </c>
    </row>
    <row r="502" spans="1:3" x14ac:dyDescent="0.25">
      <c r="A502" s="3" t="s">
        <v>18</v>
      </c>
      <c r="B502" s="4" t="s">
        <v>19</v>
      </c>
      <c r="C502" s="4" t="s">
        <v>20</v>
      </c>
    </row>
    <row r="503" spans="1:3" x14ac:dyDescent="0.25">
      <c r="A503" s="3" t="s">
        <v>22</v>
      </c>
      <c r="B503" s="4" t="s">
        <v>23</v>
      </c>
      <c r="C503" s="4" t="s">
        <v>24</v>
      </c>
    </row>
  </sheetData>
  <mergeCells count="5">
    <mergeCell ref="D14:G14"/>
    <mergeCell ref="D15:G15"/>
    <mergeCell ref="D16:G16"/>
    <mergeCell ref="D18:G18"/>
    <mergeCell ref="D19:G19"/>
  </mergeCells>
  <printOptions horizontalCentered="1" headings="1" gridLines="1"/>
  <pageMargins left="0.7" right="0.7" top="0.75" bottom="0.75" header="0.3" footer="0.3"/>
  <pageSetup paperSize="9" orientation="portrait" verticalDpi="0" r:id="rId1"/>
  <headerFooter>
    <oddFooter>&amp;LABC COMPANY, BANGALORE&amp;C&amp;Z&amp;F\&amp;F&amp;R&amp;P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topLeftCell="A43" zoomScale="145" zoomScaleNormal="145" workbookViewId="0">
      <selection activeCell="C50" sqref="C50"/>
    </sheetView>
  </sheetViews>
  <sheetFormatPr defaultRowHeight="15" x14ac:dyDescent="0.25"/>
  <cols>
    <col min="1" max="1" width="19.85546875" customWidth="1"/>
    <col min="2" max="2" width="17.85546875" customWidth="1"/>
    <col min="7" max="7" width="20.28515625" customWidth="1"/>
  </cols>
  <sheetData>
    <row r="1" spans="1:8" x14ac:dyDescent="0.25">
      <c r="A1" t="s">
        <v>51</v>
      </c>
      <c r="B1" s="20" t="s">
        <v>60</v>
      </c>
      <c r="G1" s="22" t="s">
        <v>51</v>
      </c>
      <c r="H1" s="20" t="s">
        <v>60</v>
      </c>
    </row>
    <row r="2" spans="1:8" x14ac:dyDescent="0.25">
      <c r="A2" t="s">
        <v>50</v>
      </c>
      <c r="B2" s="23">
        <v>4500</v>
      </c>
      <c r="C2" s="21"/>
      <c r="G2" s="22" t="s">
        <v>50</v>
      </c>
      <c r="H2" s="24">
        <v>4500</v>
      </c>
    </row>
    <row r="3" spans="1:8" x14ac:dyDescent="0.25">
      <c r="A3" t="s">
        <v>52</v>
      </c>
      <c r="B3" s="23">
        <v>3698</v>
      </c>
      <c r="G3" s="22" t="s">
        <v>52</v>
      </c>
      <c r="H3" s="24">
        <v>3698</v>
      </c>
    </row>
    <row r="4" spans="1:8" x14ac:dyDescent="0.25">
      <c r="A4" t="s">
        <v>53</v>
      </c>
      <c r="B4" s="23">
        <v>-250</v>
      </c>
      <c r="E4">
        <v>25</v>
      </c>
      <c r="G4" s="22" t="s">
        <v>53</v>
      </c>
      <c r="H4" s="24">
        <v>-250</v>
      </c>
    </row>
    <row r="5" spans="1:8" x14ac:dyDescent="0.25">
      <c r="A5" t="s">
        <v>54</v>
      </c>
      <c r="B5" s="23">
        <v>2541</v>
      </c>
      <c r="E5">
        <v>-15</v>
      </c>
      <c r="G5" s="22" t="s">
        <v>54</v>
      </c>
      <c r="H5" s="24">
        <v>2541</v>
      </c>
    </row>
    <row r="6" spans="1:8" x14ac:dyDescent="0.25">
      <c r="A6" t="s">
        <v>55</v>
      </c>
      <c r="B6" s="23">
        <v>7441</v>
      </c>
      <c r="E6">
        <v>0</v>
      </c>
      <c r="G6" s="22" t="s">
        <v>55</v>
      </c>
      <c r="H6" s="24">
        <v>7441</v>
      </c>
    </row>
    <row r="7" spans="1:8" x14ac:dyDescent="0.25">
      <c r="A7" t="s">
        <v>56</v>
      </c>
      <c r="B7" s="23">
        <v>-300</v>
      </c>
      <c r="E7" t="s">
        <v>61</v>
      </c>
      <c r="G7" s="22" t="s">
        <v>56</v>
      </c>
      <c r="H7" s="24">
        <v>-300</v>
      </c>
    </row>
    <row r="8" spans="1:8" x14ac:dyDescent="0.25">
      <c r="A8" t="s">
        <v>57</v>
      </c>
      <c r="B8" s="23">
        <v>1447</v>
      </c>
      <c r="G8" s="22" t="s">
        <v>57</v>
      </c>
      <c r="H8" s="24">
        <v>1447</v>
      </c>
    </row>
    <row r="9" spans="1:8" x14ac:dyDescent="0.25">
      <c r="A9" t="s">
        <v>58</v>
      </c>
      <c r="B9" s="23">
        <v>2584</v>
      </c>
      <c r="G9" s="22" t="s">
        <v>58</v>
      </c>
      <c r="H9" s="24">
        <v>2584</v>
      </c>
    </row>
    <row r="10" spans="1:8" x14ac:dyDescent="0.25">
      <c r="A10" t="s">
        <v>59</v>
      </c>
      <c r="B10" s="23">
        <v>6548</v>
      </c>
      <c r="G10" s="22" t="s">
        <v>59</v>
      </c>
      <c r="H10" s="24">
        <v>6548</v>
      </c>
    </row>
    <row r="15" spans="1:8" x14ac:dyDescent="0.25">
      <c r="A15" s="22" t="s">
        <v>51</v>
      </c>
      <c r="B15" s="20" t="s">
        <v>60</v>
      </c>
    </row>
    <row r="16" spans="1:8" x14ac:dyDescent="0.25">
      <c r="A16" s="22" t="s">
        <v>50</v>
      </c>
      <c r="B16" s="25">
        <v>4500</v>
      </c>
    </row>
    <row r="17" spans="1:2" x14ac:dyDescent="0.25">
      <c r="A17" s="22" t="s">
        <v>52</v>
      </c>
      <c r="B17" s="25">
        <v>3698</v>
      </c>
    </row>
    <row r="18" spans="1:2" x14ac:dyDescent="0.25">
      <c r="A18" s="22" t="s">
        <v>53</v>
      </c>
      <c r="B18" s="25">
        <v>-250</v>
      </c>
    </row>
    <row r="19" spans="1:2" x14ac:dyDescent="0.25">
      <c r="A19" s="22" t="s">
        <v>54</v>
      </c>
      <c r="B19" s="25">
        <v>2541</v>
      </c>
    </row>
    <row r="20" spans="1:2" x14ac:dyDescent="0.25">
      <c r="A20" s="22" t="s">
        <v>55</v>
      </c>
      <c r="B20" s="25">
        <v>7441</v>
      </c>
    </row>
    <row r="21" spans="1:2" x14ac:dyDescent="0.25">
      <c r="A21" s="22" t="s">
        <v>56</v>
      </c>
      <c r="B21" s="25">
        <v>-300</v>
      </c>
    </row>
    <row r="22" spans="1:2" x14ac:dyDescent="0.25">
      <c r="A22" s="22" t="s">
        <v>57</v>
      </c>
      <c r="B22" s="25">
        <v>1447</v>
      </c>
    </row>
    <row r="23" spans="1:2" x14ac:dyDescent="0.25">
      <c r="A23" s="22" t="s">
        <v>58</v>
      </c>
      <c r="B23" s="25">
        <v>2584</v>
      </c>
    </row>
    <row r="24" spans="1:2" x14ac:dyDescent="0.25">
      <c r="A24" s="22" t="s">
        <v>59</v>
      </c>
      <c r="B24" s="25">
        <v>6548</v>
      </c>
    </row>
    <row r="29" spans="1:2" x14ac:dyDescent="0.25">
      <c r="A29" s="26">
        <v>45</v>
      </c>
    </row>
    <row r="30" spans="1:2" x14ac:dyDescent="0.25">
      <c r="A30" s="26">
        <v>15</v>
      </c>
    </row>
    <row r="31" spans="1:2" x14ac:dyDescent="0.25">
      <c r="A31" s="26">
        <v>85</v>
      </c>
    </row>
    <row r="32" spans="1:2" x14ac:dyDescent="0.25">
      <c r="A32" s="26">
        <v>14</v>
      </c>
    </row>
    <row r="33" spans="1:2" x14ac:dyDescent="0.25">
      <c r="A33" s="26">
        <v>45</v>
      </c>
    </row>
    <row r="37" spans="1:2" x14ac:dyDescent="0.25">
      <c r="A37" s="4" t="s">
        <v>62</v>
      </c>
      <c r="B37" s="4" t="s">
        <v>65</v>
      </c>
    </row>
    <row r="38" spans="1:2" x14ac:dyDescent="0.25">
      <c r="A38" s="4" t="s">
        <v>63</v>
      </c>
      <c r="B38" s="27">
        <v>95</v>
      </c>
    </row>
    <row r="39" spans="1:2" x14ac:dyDescent="0.25">
      <c r="A39" s="4" t="s">
        <v>33</v>
      </c>
      <c r="B39" s="27">
        <v>25</v>
      </c>
    </row>
    <row r="40" spans="1:2" x14ac:dyDescent="0.25">
      <c r="A40" s="4" t="s">
        <v>23</v>
      </c>
      <c r="B40" s="27">
        <v>25</v>
      </c>
    </row>
    <row r="41" spans="1:2" x14ac:dyDescent="0.25">
      <c r="A41" s="4" t="s">
        <v>19</v>
      </c>
      <c r="B41" s="27">
        <v>54</v>
      </c>
    </row>
    <row r="42" spans="1:2" x14ac:dyDescent="0.25">
      <c r="A42" s="4" t="s">
        <v>64</v>
      </c>
      <c r="B42" s="27">
        <v>95</v>
      </c>
    </row>
    <row r="45" spans="1:2" s="22" customFormat="1" x14ac:dyDescent="0.25"/>
    <row r="46" spans="1:2" x14ac:dyDescent="0.25">
      <c r="A46" t="s">
        <v>66</v>
      </c>
      <c r="B46" s="28">
        <v>1234567896</v>
      </c>
    </row>
    <row r="47" spans="1:2" x14ac:dyDescent="0.25">
      <c r="A47" s="22" t="s">
        <v>67</v>
      </c>
      <c r="B47" s="28">
        <v>1234569889</v>
      </c>
    </row>
    <row r="48" spans="1:2" x14ac:dyDescent="0.25">
      <c r="A48" s="22" t="s">
        <v>68</v>
      </c>
      <c r="B48" s="28">
        <v>1548789898</v>
      </c>
    </row>
    <row r="49" spans="1:2" x14ac:dyDescent="0.25">
      <c r="A49" s="22" t="s">
        <v>69</v>
      </c>
      <c r="B49" s="28">
        <v>1234569878</v>
      </c>
    </row>
    <row r="50" spans="1:2" x14ac:dyDescent="0.25">
      <c r="A50" s="22" t="s">
        <v>70</v>
      </c>
      <c r="B50" s="28">
        <v>6988745163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statement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2024-02-13T20:14:10Z</dcterms:created>
  <dcterms:modified xsi:type="dcterms:W3CDTF">2024-02-13T22:18:50Z</dcterms:modified>
</cp:coreProperties>
</file>