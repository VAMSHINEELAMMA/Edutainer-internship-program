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Data table" sheetId="1" r:id="rId1"/>
    <sheet name="Scenarios" sheetId="2" r:id="rId2"/>
    <sheet name="Scenario Summary" sheetId="3" r:id="rId3"/>
    <sheet name="Goal seek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aaaaaa">#REF!</definedName>
    <definedName name="amarks">#REF!</definedName>
    <definedName name="cost">[2]Sheet22!$D$4</definedName>
    <definedName name="criteria1">'[3]Advance filter'!#REF!</definedName>
    <definedName name="Employee_ID">"sheet34!a1:a10"</definedName>
    <definedName name="Entertainment">Scenarios!$C$6</definedName>
    <definedName name="etype">'[4]Data validation'!$G$29:$G$31</definedName>
    <definedName name="Furniture">Scenarios!$C$3</definedName>
    <definedName name="GST">'[5]Cell references'!$H$18</definedName>
    <definedName name="lap_price">'[6]Financial functions'!$B$114</definedName>
    <definedName name="lap_price2">#REF!</definedName>
    <definedName name="lap_qty">'[6]Financial functions'!$B$115</definedName>
    <definedName name="laptop_price">#REF!</definedName>
    <definedName name="Laptop_qty">#REF!</definedName>
    <definedName name="marks_list">'[7]Define name'!$G$10:$G$14</definedName>
    <definedName name="marks_list1">#REF!</definedName>
    <definedName name="mobileprice">'[8]relative cell reference'!#REF!</definedName>
    <definedName name="PF">[8]Sheet15!$B$3</definedName>
    <definedName name="Price">'[8]relative cell reference'!#REF!</definedName>
    <definedName name="qty">[2]Sheet22!$D$5</definedName>
    <definedName name="quantity">'[8]relative cell reference'!#REF!</definedName>
    <definedName name="salary">[2]Sheet22!$F$2:$F$6</definedName>
    <definedName name="Salary_emp">Scenarios!$C$5</definedName>
    <definedName name="salesvalue">[9]Sheet25!$E$3:$E$10</definedName>
    <definedName name="Staff_welfare">Scenarios!$C$4</definedName>
    <definedName name="totaltax">'[8]relative cell reference'!#REF!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4" l="1"/>
  <c r="C6" i="4"/>
  <c r="G7" i="4"/>
  <c r="C16" i="4"/>
  <c r="C7" i="2"/>
  <c r="F5" i="1"/>
  <c r="C6" i="1"/>
  <c r="H6" i="1"/>
  <c r="D13" i="1"/>
</calcChain>
</file>

<file path=xl/sharedStrings.xml><?xml version="1.0" encoding="utf-8"?>
<sst xmlns="http://schemas.openxmlformats.org/spreadsheetml/2006/main" count="40" uniqueCount="34">
  <si>
    <t>EMI</t>
  </si>
  <si>
    <t>Installment</t>
  </si>
  <si>
    <t>Rate of interest</t>
  </si>
  <si>
    <t>Loan amount</t>
  </si>
  <si>
    <t>Entertainment</t>
  </si>
  <si>
    <t>Salary</t>
  </si>
  <si>
    <t>Staff welfare</t>
  </si>
  <si>
    <t>Furniture</t>
  </si>
  <si>
    <t>Plan A</t>
  </si>
  <si>
    <t>scenario are highlighted in gray.</t>
  </si>
  <si>
    <t>time Scenario Summary Report was created.  Changing cells for each</t>
  </si>
  <si>
    <t>Notes:  Current Values column represents values of changing cells at</t>
  </si>
  <si>
    <t>$C$7</t>
  </si>
  <si>
    <t>Result Cells:</t>
  </si>
  <si>
    <t>Salary_emp</t>
  </si>
  <si>
    <t>Staff_welfare</t>
  </si>
  <si>
    <t>Changing Cells:</t>
  </si>
  <si>
    <t>Created by DELL on 29/01/2024</t>
  </si>
  <si>
    <t>PLAN D</t>
  </si>
  <si>
    <t>PLAN C</t>
  </si>
  <si>
    <t>PLAN B</t>
  </si>
  <si>
    <t>PLAN A</t>
  </si>
  <si>
    <t>Current Values:</t>
  </si>
  <si>
    <t>Scenario Summary</t>
  </si>
  <si>
    <t>Total</t>
  </si>
  <si>
    <t>Target</t>
  </si>
  <si>
    <t>Num of emp</t>
  </si>
  <si>
    <t>Days</t>
  </si>
  <si>
    <t>1 person</t>
  </si>
  <si>
    <t>Selling price</t>
  </si>
  <si>
    <t>Price</t>
  </si>
  <si>
    <t>Qty</t>
  </si>
  <si>
    <t>Tax 18%</t>
  </si>
  <si>
    <t>Laptop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</si>
</sst>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₹&quot;\ #,##0;[Red]&quot;₹&quot;\ \-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indexed="20"/>
        <bgColor indexed="2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1" fontId="0" fillId="0" borderId="1" xfId="0" applyNumberFormat="1" applyBorder="1"/>
    <xf numFmtId="0" fontId="0" fillId="0" borderId="1" xfId="0" applyBorder="1"/>
    <xf numFmtId="1" fontId="1" fillId="0" borderId="1" xfId="0" applyNumberFormat="1" applyFont="1" applyBorder="1"/>
    <xf numFmtId="9" fontId="0" fillId="0" borderId="1" xfId="0" applyNumberFormat="1" applyBorder="1"/>
    <xf numFmtId="6" fontId="1" fillId="0" borderId="1" xfId="0" applyNumberFormat="1" applyFont="1" applyBorder="1"/>
    <xf numFmtId="6" fontId="0" fillId="0" borderId="1" xfId="0" applyNumberFormat="1" applyBorder="1"/>
    <xf numFmtId="6" fontId="1" fillId="0" borderId="0" xfId="0" applyNumberFormat="1" applyFont="1"/>
    <xf numFmtId="9" fontId="0" fillId="0" borderId="0" xfId="0" applyNumberFormat="1"/>
    <xf numFmtId="0" fontId="1" fillId="0" borderId="0" xfId="0" applyFont="1"/>
    <xf numFmtId="0" fontId="0" fillId="0" borderId="2" xfId="0" applyFill="1" applyBorder="1" applyAlignment="1"/>
    <xf numFmtId="0" fontId="2" fillId="2" borderId="2" xfId="0" applyFont="1" applyFill="1" applyBorder="1" applyAlignment="1">
      <alignment horizontal="left"/>
    </xf>
    <xf numFmtId="0" fontId="0" fillId="0" borderId="3" xfId="0" applyFill="1" applyBorder="1" applyAlignment="1"/>
    <xf numFmtId="0" fontId="3" fillId="2" borderId="3" xfId="0" applyFont="1" applyFill="1" applyBorder="1" applyAlignment="1">
      <alignment horizontal="left"/>
    </xf>
    <xf numFmtId="0" fontId="0" fillId="3" borderId="0" xfId="0" applyFill="1" applyBorder="1" applyAlignment="1"/>
    <xf numFmtId="0" fontId="0" fillId="0" borderId="0" xfId="0" applyFill="1" applyBorder="1" applyAlignment="1"/>
    <xf numFmtId="0" fontId="2" fillId="2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vertical="top" wrapText="1"/>
    </xf>
    <xf numFmtId="0" fontId="5" fillId="4" borderId="4" xfId="0" applyFont="1" applyFill="1" applyBorder="1" applyAlignment="1">
      <alignment horizontal="right"/>
    </xf>
    <xf numFmtId="0" fontId="6" fillId="4" borderId="4" xfId="0" applyFont="1" applyFill="1" applyBorder="1" applyAlignment="1">
      <alignment horizontal="left"/>
    </xf>
    <xf numFmtId="0" fontId="5" fillId="4" borderId="5" xfId="0" applyFont="1" applyFill="1" applyBorder="1" applyAlignment="1">
      <alignment horizontal="right"/>
    </xf>
    <xf numFmtId="0" fontId="6" fillId="4" borderId="5" xfId="0" applyFont="1" applyFill="1" applyBorder="1" applyAlignment="1">
      <alignment horizontal="left"/>
    </xf>
    <xf numFmtId="0" fontId="0" fillId="0" borderId="0" xfId="0" applyAlignment="1">
      <alignment wrapText="1"/>
    </xf>
    <xf numFmtId="1" fontId="1" fillId="0" borderId="0" xfId="0" quotePrefix="1" applyNumberFormat="1" applyFont="1"/>
    <xf numFmtId="1" fontId="0" fillId="0" borderId="0" xfId="0" quotePrefix="1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enesis/Excel%20videos/sample0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Latha%20Blr/demo%20exce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%20drive\Advance%20excel\excel%20dem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HEL/Excel%20Training/Excel%20dem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ting"/>
      <sheetName val="Sheet2"/>
      <sheetName val="sumif"/>
      <sheetName val="Sheet4"/>
      <sheetName val="Sheet5"/>
      <sheetName val="Sheet9"/>
      <sheetName val="Sheet10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address"/>
      <sheetName val="Sheet5"/>
      <sheetName val="Employee address (2)"/>
      <sheetName val="Sheet5 (3)"/>
      <sheetName val="Employee personal details"/>
      <sheetName val="Sheet5 (2)"/>
      <sheetName val="Conditional formatting"/>
      <sheetName val="Sorting of records"/>
      <sheetName val="Filter option"/>
      <sheetName val="Fill series"/>
      <sheetName val="Simple calculations"/>
      <sheetName val="Functions in excel"/>
      <sheetName val="Round function"/>
      <sheetName val="Cell references"/>
      <sheetName val="SIMPLE IF function"/>
      <sheetName val="salary statement"/>
      <sheetName val="Print options"/>
      <sheetName val="sales chart"/>
      <sheetName val="sales data"/>
      <sheetName val="pie chart"/>
      <sheetName val="Pie chart data"/>
      <sheetName val="text functions"/>
      <sheetName val="sumif"/>
      <sheetName val="advance filter"/>
      <sheetName val="advance filter new sheet"/>
      <sheetName val="Data validation"/>
      <sheetName val="Data validation 02"/>
      <sheetName val="Goal seek"/>
      <sheetName val="Financial functions"/>
      <sheetName val="Statistical functions"/>
      <sheetName val="Date function"/>
      <sheetName val="Subtotal"/>
      <sheetName val="Subtotal copy"/>
      <sheetName val="Lookup function"/>
      <sheetName val="Sheet2"/>
      <sheetName val="Vlookup"/>
      <sheetName val="HLOOKUP"/>
      <sheetName val="Sheet7"/>
      <sheetName val="sheet8"/>
      <sheetName val="Sheet9"/>
      <sheetName val="Sheet1"/>
      <sheetName val="Scenario Summary"/>
      <sheetName val="Sol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H18">
            <v>0.18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formula"/>
      <sheetName val="Sorting and Filter"/>
      <sheetName val="functions"/>
      <sheetName val="Conditional formatting"/>
      <sheetName val="relative and absolute reference"/>
      <sheetName val="jan"/>
      <sheetName val="feb"/>
      <sheetName val="mar"/>
      <sheetName val="sheet reference 3d reference"/>
      <sheetName val="simple if function"/>
      <sheetName val="if function 2"/>
      <sheetName val="nested if function"/>
      <sheetName val="salary statement"/>
      <sheetName val="text function"/>
      <sheetName val="sales chart"/>
      <sheetName val="Chart data1"/>
      <sheetName val="pie chart"/>
      <sheetName val="Chart data2"/>
      <sheetName val="line chart output"/>
      <sheetName val="line chart compare"/>
      <sheetName val="line chart"/>
      <sheetName val="more on functions"/>
      <sheetName val="Print option"/>
      <sheetName val="Advance filter"/>
      <sheetName val="use define name for list range"/>
      <sheetName val="Data validation"/>
      <sheetName val="Financial functions"/>
      <sheetName val="what if analysis goal seek"/>
      <sheetName val="what if analysis table"/>
      <sheetName val="Scenario Summary"/>
      <sheetName val="scenarios"/>
      <sheetName val="frequency function"/>
      <sheetName val="Statistical functions"/>
      <sheetName val="CORREL"/>
      <sheetName val="Date functions"/>
      <sheetName val="date function2"/>
      <sheetName val="Subtotal"/>
      <sheetName val="vlookup"/>
      <sheetName val="sheet1"/>
      <sheetName val="sheet2"/>
      <sheetName val="sheet3"/>
      <sheetName val="Sheet5"/>
      <sheetName val="pivot table"/>
      <sheetName val="Pivot data"/>
      <sheetName val="trend line"/>
      <sheetName val="Sparkline"/>
      <sheetName val="import data"/>
      <sheetName val="proetect sheet"/>
      <sheetName val="Database functions and comments"/>
      <sheetName val="Solver add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>
        <row r="114">
          <cell r="B114">
            <v>32000</v>
          </cell>
        </row>
        <row r="115">
          <cell r="B115">
            <v>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list"/>
      <sheetName val="Fill Series"/>
      <sheetName val="Conditional Format"/>
      <sheetName val="Sheet5"/>
      <sheetName val="simple calculation"/>
      <sheetName val="basic functions"/>
      <sheetName val="sorting and filter"/>
      <sheetName val="round function"/>
      <sheetName val="References"/>
      <sheetName val="if function"/>
      <sheetName val="if function2"/>
      <sheetName val="salary statement"/>
      <sheetName val="Print titles"/>
      <sheetName val="sales chart"/>
      <sheetName val="sales data"/>
      <sheetName val="PIE chcart"/>
      <sheetName val="pie data"/>
      <sheetName val="line chart"/>
      <sheetName val="line chart data"/>
      <sheetName val="text data"/>
      <sheetName val="SUMIF"/>
      <sheetName val="vlookup"/>
      <sheetName val="Sheet23"/>
      <sheetName val="Sheet24"/>
      <sheetName val="Sheet25"/>
      <sheetName val="HLOOKUP"/>
      <sheetName val="Financial functions"/>
      <sheetName val="Data Table"/>
      <sheetName val="Scenario Summary"/>
      <sheetName val="scenarios"/>
      <sheetName val="Sheet34"/>
      <sheetName val="Advance filter"/>
      <sheetName val="Define name"/>
      <sheetName val="Data validation"/>
      <sheetName val="Data validation2"/>
      <sheetName val="Date functions"/>
      <sheetName val="date function2"/>
      <sheetName val="Subtotal"/>
      <sheetName val="pivot chart"/>
      <sheetName val="pivot table"/>
      <sheetName val="Pivot data"/>
      <sheetName val="import data text to columns"/>
      <sheetName val="locked and unlocked cells"/>
      <sheetName val="Track changes"/>
      <sheetName val="Sheet2"/>
      <sheetName val="Consolidate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0">
          <cell r="D10">
            <v>22500</v>
          </cell>
          <cell r="G10">
            <v>10</v>
          </cell>
        </row>
        <row r="11">
          <cell r="G11">
            <v>20</v>
          </cell>
        </row>
        <row r="12">
          <cell r="G12">
            <v>30</v>
          </cell>
        </row>
        <row r="13">
          <cell r="G13">
            <v>40</v>
          </cell>
        </row>
        <row r="14">
          <cell r="G14">
            <v>50</v>
          </cell>
        </row>
      </sheetData>
      <sheetData sheetId="33">
        <row r="29">
          <cell r="G29" t="str">
            <v>Permanent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3">
          <cell r="B3">
            <v>0.125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Bill 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8"/>
  <sheetViews>
    <sheetView tabSelected="1" zoomScale="145" zoomScaleNormal="145" workbookViewId="0">
      <selection activeCell="F24" sqref="F24"/>
    </sheetView>
  </sheetViews>
  <sheetFormatPr defaultRowHeight="15" x14ac:dyDescent="0.25"/>
  <cols>
    <col min="2" max="2" width="15.28515625" customWidth="1"/>
    <col min="3" max="3" width="11.85546875" customWidth="1"/>
    <col min="4" max="4" width="10" bestFit="1" customWidth="1"/>
    <col min="6" max="6" width="10" bestFit="1" customWidth="1"/>
    <col min="8" max="8" width="10" bestFit="1" customWidth="1"/>
  </cols>
  <sheetData>
    <row r="2" spans="2:12" x14ac:dyDescent="0.25">
      <c r="B2" t="s">
        <v>3</v>
      </c>
      <c r="C2">
        <v>50000</v>
      </c>
    </row>
    <row r="3" spans="2:12" x14ac:dyDescent="0.25">
      <c r="B3" t="s">
        <v>2</v>
      </c>
      <c r="C3" s="8">
        <v>0.08</v>
      </c>
    </row>
    <row r="4" spans="2:12" x14ac:dyDescent="0.25">
      <c r="B4" t="s">
        <v>1</v>
      </c>
      <c r="C4">
        <v>24</v>
      </c>
    </row>
    <row r="5" spans="2:12" x14ac:dyDescent="0.25">
      <c r="E5" s="2"/>
      <c r="F5" s="5">
        <f>PMT(C3/12,C4,-C2,0)</f>
        <v>2261.3645728092074</v>
      </c>
      <c r="H5" s="2"/>
      <c r="I5" s="4">
        <v>0.08</v>
      </c>
      <c r="J5" s="4">
        <v>0.1</v>
      </c>
      <c r="K5" s="4">
        <v>0.12</v>
      </c>
      <c r="L5" s="4">
        <v>0.14000000000000001</v>
      </c>
    </row>
    <row r="6" spans="2:12" x14ac:dyDescent="0.25">
      <c r="B6" t="s">
        <v>0</v>
      </c>
      <c r="C6" s="7">
        <f>PMT(C3/12,C4,-C2,0)</f>
        <v>2261.3645728092074</v>
      </c>
      <c r="E6" s="2">
        <v>12</v>
      </c>
      <c r="F6" s="1">
        <f t="dataTable" ref="F6:F10" dt2D="0" dtr="0" r1="C4" ca="1"/>
        <v>4349.4214542710533</v>
      </c>
      <c r="H6" s="6">
        <f>PMT(C3/12,C4,-C2,0)</f>
        <v>2261.3645728092074</v>
      </c>
      <c r="I6" s="1">
        <f t="dataTable" ref="I6:L6" dt2D="0" dtr="1" r1="C3" ca="1"/>
        <v>2261.3645728092074</v>
      </c>
      <c r="J6" s="1">
        <v>2307.2463168758254</v>
      </c>
      <c r="K6" s="1">
        <v>2353.6736111632349</v>
      </c>
      <c r="L6" s="1">
        <v>2400.6441634194061</v>
      </c>
    </row>
    <row r="7" spans="2:12" x14ac:dyDescent="0.25">
      <c r="E7" s="2">
        <v>18</v>
      </c>
      <c r="F7" s="1">
        <v>2957.0149293545214</v>
      </c>
    </row>
    <row r="8" spans="2:12" x14ac:dyDescent="0.25">
      <c r="E8" s="2">
        <v>24</v>
      </c>
      <c r="F8" s="1">
        <v>2261.3645728092074</v>
      </c>
    </row>
    <row r="9" spans="2:12" x14ac:dyDescent="0.25">
      <c r="E9" s="2">
        <v>30</v>
      </c>
      <c r="F9" s="1">
        <v>1844.4161919843341</v>
      </c>
    </row>
    <row r="10" spans="2:12" x14ac:dyDescent="0.25">
      <c r="E10" s="2">
        <v>36</v>
      </c>
      <c r="F10" s="1">
        <v>1566.8182730715423</v>
      </c>
    </row>
    <row r="13" spans="2:12" x14ac:dyDescent="0.25">
      <c r="D13" s="5">
        <f>PMT(C3/12,C4,-C2,0)</f>
        <v>2261.3645728092074</v>
      </c>
      <c r="E13" s="4">
        <v>0.08</v>
      </c>
      <c r="F13" s="4">
        <v>0.1</v>
      </c>
      <c r="G13" s="4">
        <v>0.12</v>
      </c>
      <c r="H13" s="4">
        <v>0.14000000000000001</v>
      </c>
    </row>
    <row r="14" spans="2:12" x14ac:dyDescent="0.25">
      <c r="D14" s="2">
        <v>12</v>
      </c>
      <c r="E14" s="1">
        <f t="dataTable" ref="E14:H18" dt2D="1" dtr="1" r1="C3" r2="C4"/>
        <v>4349.4214542710533</v>
      </c>
      <c r="F14" s="1">
        <v>4395.7943615004797</v>
      </c>
      <c r="G14" s="1">
        <v>4442.439433917084</v>
      </c>
      <c r="H14" s="1">
        <v>4489.3558805706762</v>
      </c>
    </row>
    <row r="15" spans="2:12" x14ac:dyDescent="0.25">
      <c r="D15" s="2">
        <v>18</v>
      </c>
      <c r="E15" s="1">
        <v>2957.0149293545214</v>
      </c>
      <c r="F15" s="1">
        <v>3002.8540005477121</v>
      </c>
      <c r="G15" s="1">
        <v>3049.102394765066</v>
      </c>
      <c r="H15" s="1">
        <v>3095.7587013137068</v>
      </c>
    </row>
    <row r="16" spans="2:12" x14ac:dyDescent="0.25">
      <c r="D16" s="2">
        <v>24</v>
      </c>
      <c r="E16" s="3">
        <v>2261.3645728092074</v>
      </c>
      <c r="F16" s="1">
        <v>2307.2463168758254</v>
      </c>
      <c r="G16" s="1">
        <v>2353.6736111632349</v>
      </c>
      <c r="H16" s="1">
        <v>2400.6441634194061</v>
      </c>
    </row>
    <row r="17" spans="4:8" x14ac:dyDescent="0.25">
      <c r="D17" s="2">
        <v>30</v>
      </c>
      <c r="E17" s="1">
        <v>1844.4161919843341</v>
      </c>
      <c r="F17" s="1">
        <v>1890.5705084773201</v>
      </c>
      <c r="G17" s="1">
        <v>1937.4056607923574</v>
      </c>
      <c r="H17" s="1">
        <v>1984.9181282900802</v>
      </c>
    </row>
    <row r="18" spans="4:8" x14ac:dyDescent="0.25">
      <c r="D18" s="2">
        <v>36</v>
      </c>
      <c r="E18" s="1">
        <v>1566.8182730715423</v>
      </c>
      <c r="F18" s="1">
        <v>1613.3593596918743</v>
      </c>
      <c r="G18" s="1">
        <v>1660.7154906425596</v>
      </c>
      <c r="H18" s="1">
        <v>1708.8814879012809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"/>
  <sheetViews>
    <sheetView zoomScale="160" zoomScaleNormal="160" workbookViewId="0">
      <selection activeCell="D13" sqref="D13"/>
    </sheetView>
  </sheetViews>
  <sheetFormatPr defaultRowHeight="15" x14ac:dyDescent="0.25"/>
  <cols>
    <col min="2" max="2" width="14" bestFit="1" customWidth="1"/>
  </cols>
  <sheetData>
    <row r="2" spans="2:3" x14ac:dyDescent="0.25">
      <c r="B2" t="s">
        <v>8</v>
      </c>
    </row>
    <row r="3" spans="2:3" x14ac:dyDescent="0.25">
      <c r="B3" s="2" t="s">
        <v>7</v>
      </c>
      <c r="C3" s="2">
        <v>75000</v>
      </c>
    </row>
    <row r="4" spans="2:3" x14ac:dyDescent="0.25">
      <c r="B4" s="2" t="s">
        <v>6</v>
      </c>
      <c r="C4" s="2">
        <v>35000</v>
      </c>
    </row>
    <row r="5" spans="2:3" x14ac:dyDescent="0.25">
      <c r="B5" s="2" t="s">
        <v>5</v>
      </c>
      <c r="C5" s="2">
        <v>120000</v>
      </c>
    </row>
    <row r="6" spans="2:3" x14ac:dyDescent="0.25">
      <c r="B6" s="2" t="s">
        <v>4</v>
      </c>
      <c r="C6" s="2">
        <v>36000</v>
      </c>
    </row>
    <row r="7" spans="2:3" x14ac:dyDescent="0.25">
      <c r="C7" s="9">
        <f>SUM(C3:C6)</f>
        <v>266000</v>
      </c>
    </row>
  </sheetData>
  <scenarios current="3" show="3" sqref="C7">
    <scenario name="PLAN A" locked="1" count="4" user="DELL" comment="Created by DELL on 29/01/2024">
      <inputCells r="C3" val="20000"/>
      <inputCells r="C4" val="75000"/>
      <inputCells r="C5" val="100000"/>
      <inputCells r="C6" val="25000"/>
    </scenario>
    <scenario name="PLAN B" locked="1" count="4" user="DELL" comment="Created by DELL on 29/01/2024">
      <inputCells r="C3" val="50000"/>
      <inputCells r="C4" val="100000"/>
      <inputCells r="C5" val="150000"/>
      <inputCells r="C6" val="30000"/>
    </scenario>
    <scenario name="PLAN C" locked="1" count="4" user="DELL" comment="Created by DELL on 29/01/2024">
      <inputCells r="C3" val="15000"/>
      <inputCells r="C4" val="30000"/>
      <inputCells r="C5" val="175000"/>
      <inputCells r="C6" val="12000"/>
    </scenario>
    <scenario name="PLAN D" locked="1" count="4" user="DELL" comment="Created by DELL on 29/01/2024">
      <inputCells r="C3" val="75000"/>
      <inputCells r="C4" val="35000"/>
      <inputCells r="C5" val="120000"/>
      <inputCells r="C6" val="36000"/>
    </scenario>
  </scenario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1:H14"/>
  <sheetViews>
    <sheetView showGridLines="0" workbookViewId="0">
      <selection activeCell="G8" sqref="G8"/>
    </sheetView>
  </sheetViews>
  <sheetFormatPr defaultRowHeight="15" outlineLevelRow="1" outlineLevelCol="1" x14ac:dyDescent="0.25"/>
  <cols>
    <col min="3" max="3" width="14" bestFit="1" customWidth="1"/>
    <col min="4" max="8" width="13.140625" bestFit="1" customWidth="1" outlineLevel="1"/>
  </cols>
  <sheetData>
    <row r="1" spans="2:8" ht="15.75" thickBot="1" x14ac:dyDescent="0.3"/>
    <row r="2" spans="2:8" ht="15.75" x14ac:dyDescent="0.25">
      <c r="B2" s="21" t="s">
        <v>23</v>
      </c>
      <c r="C2" s="21"/>
      <c r="D2" s="20"/>
      <c r="E2" s="20"/>
      <c r="F2" s="20"/>
      <c r="G2" s="20"/>
      <c r="H2" s="20"/>
    </row>
    <row r="3" spans="2:8" ht="15.75" collapsed="1" x14ac:dyDescent="0.25">
      <c r="B3" s="19"/>
      <c r="C3" s="19"/>
      <c r="D3" s="18" t="s">
        <v>22</v>
      </c>
      <c r="E3" s="18" t="s">
        <v>21</v>
      </c>
      <c r="F3" s="18" t="s">
        <v>20</v>
      </c>
      <c r="G3" s="18" t="s">
        <v>19</v>
      </c>
      <c r="H3" s="18" t="s">
        <v>18</v>
      </c>
    </row>
    <row r="4" spans="2:8" ht="22.5" hidden="1" outlineLevel="1" x14ac:dyDescent="0.25">
      <c r="B4" s="16"/>
      <c r="C4" s="16"/>
      <c r="D4" s="15"/>
      <c r="E4" s="17" t="s">
        <v>17</v>
      </c>
      <c r="F4" s="17" t="s">
        <v>17</v>
      </c>
      <c r="G4" s="17" t="s">
        <v>17</v>
      </c>
      <c r="H4" s="17" t="s">
        <v>17</v>
      </c>
    </row>
    <row r="5" spans="2:8" x14ac:dyDescent="0.25">
      <c r="B5" s="13" t="s">
        <v>16</v>
      </c>
      <c r="C5" s="13"/>
      <c r="D5" s="12"/>
      <c r="E5" s="12"/>
      <c r="F5" s="12"/>
      <c r="G5" s="12"/>
      <c r="H5" s="12"/>
    </row>
    <row r="6" spans="2:8" outlineLevel="1" x14ac:dyDescent="0.25">
      <c r="B6" s="16"/>
      <c r="C6" s="16" t="s">
        <v>7</v>
      </c>
      <c r="D6" s="15">
        <v>75000</v>
      </c>
      <c r="E6" s="14">
        <v>20000</v>
      </c>
      <c r="F6" s="14">
        <v>50000</v>
      </c>
      <c r="G6" s="14">
        <v>15000</v>
      </c>
      <c r="H6" s="14">
        <v>75000</v>
      </c>
    </row>
    <row r="7" spans="2:8" outlineLevel="1" x14ac:dyDescent="0.25">
      <c r="B7" s="16"/>
      <c r="C7" s="16" t="s">
        <v>15</v>
      </c>
      <c r="D7" s="15">
        <v>35000</v>
      </c>
      <c r="E7" s="14">
        <v>75000</v>
      </c>
      <c r="F7" s="14">
        <v>100000</v>
      </c>
      <c r="G7" s="14">
        <v>30000</v>
      </c>
      <c r="H7" s="14">
        <v>35000</v>
      </c>
    </row>
    <row r="8" spans="2:8" outlineLevel="1" x14ac:dyDescent="0.25">
      <c r="B8" s="16"/>
      <c r="C8" s="16" t="s">
        <v>14</v>
      </c>
      <c r="D8" s="15">
        <v>120000</v>
      </c>
      <c r="E8" s="14">
        <v>100000</v>
      </c>
      <c r="F8" s="14">
        <v>150000</v>
      </c>
      <c r="G8" s="14">
        <v>175000</v>
      </c>
      <c r="H8" s="14">
        <v>120000</v>
      </c>
    </row>
    <row r="9" spans="2:8" outlineLevel="1" x14ac:dyDescent="0.25">
      <c r="B9" s="16"/>
      <c r="C9" s="16" t="s">
        <v>4</v>
      </c>
      <c r="D9" s="15">
        <v>36000</v>
      </c>
      <c r="E9" s="14">
        <v>25000</v>
      </c>
      <c r="F9" s="14">
        <v>30000</v>
      </c>
      <c r="G9" s="14">
        <v>12000</v>
      </c>
      <c r="H9" s="14">
        <v>36000</v>
      </c>
    </row>
    <row r="10" spans="2:8" x14ac:dyDescent="0.25">
      <c r="B10" s="13" t="s">
        <v>13</v>
      </c>
      <c r="C10" s="13"/>
      <c r="D10" s="12"/>
      <c r="E10" s="12"/>
      <c r="F10" s="12"/>
      <c r="G10" s="12"/>
      <c r="H10" s="12"/>
    </row>
    <row r="11" spans="2:8" ht="15.75" outlineLevel="1" thickBot="1" x14ac:dyDescent="0.3">
      <c r="B11" s="11"/>
      <c r="C11" s="11" t="s">
        <v>12</v>
      </c>
      <c r="D11" s="10">
        <v>266000</v>
      </c>
      <c r="E11" s="10">
        <v>220000</v>
      </c>
      <c r="F11" s="10">
        <v>330000</v>
      </c>
      <c r="G11" s="10">
        <v>232000</v>
      </c>
      <c r="H11" s="10">
        <v>266000</v>
      </c>
    </row>
    <row r="12" spans="2:8" x14ac:dyDescent="0.25">
      <c r="B12" t="s">
        <v>11</v>
      </c>
    </row>
    <row r="13" spans="2:8" x14ac:dyDescent="0.25">
      <c r="B13" t="s">
        <v>10</v>
      </c>
    </row>
    <row r="14" spans="2:8" x14ac:dyDescent="0.25">
      <c r="B14" t="s">
        <v>9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6"/>
  <sheetViews>
    <sheetView zoomScale="205" zoomScaleNormal="205" workbookViewId="0">
      <selection activeCell="D8" sqref="D8"/>
    </sheetView>
  </sheetViews>
  <sheetFormatPr defaultRowHeight="15" x14ac:dyDescent="0.25"/>
  <cols>
    <col min="2" max="2" width="14.140625" customWidth="1"/>
    <col min="3" max="3" width="9.7109375" bestFit="1" customWidth="1"/>
  </cols>
  <sheetData>
    <row r="3" spans="2:7" x14ac:dyDescent="0.25">
      <c r="B3" t="s">
        <v>33</v>
      </c>
      <c r="C3" s="25">
        <v>27118.644067796609</v>
      </c>
    </row>
    <row r="4" spans="2:7" x14ac:dyDescent="0.25">
      <c r="B4" t="s">
        <v>32</v>
      </c>
      <c r="C4" s="24">
        <f>C3*18%</f>
        <v>4881.3559322033898</v>
      </c>
      <c r="F4" t="s">
        <v>31</v>
      </c>
      <c r="G4">
        <v>25</v>
      </c>
    </row>
    <row r="5" spans="2:7" x14ac:dyDescent="0.25">
      <c r="F5" t="s">
        <v>30</v>
      </c>
      <c r="G5">
        <v>600</v>
      </c>
    </row>
    <row r="6" spans="2:7" x14ac:dyDescent="0.25">
      <c r="B6" t="s">
        <v>29</v>
      </c>
      <c r="C6" s="23">
        <f>C3+C4</f>
        <v>32000</v>
      </c>
    </row>
    <row r="7" spans="2:7" x14ac:dyDescent="0.25">
      <c r="F7" t="s">
        <v>24</v>
      </c>
      <c r="G7" s="9">
        <f>G4*G5</f>
        <v>15000</v>
      </c>
    </row>
    <row r="9" spans="2:7" x14ac:dyDescent="0.25">
      <c r="G9">
        <v>15000</v>
      </c>
    </row>
    <row r="13" spans="2:7" x14ac:dyDescent="0.25">
      <c r="B13" t="s">
        <v>28</v>
      </c>
      <c r="C13">
        <v>20</v>
      </c>
    </row>
    <row r="14" spans="2:7" x14ac:dyDescent="0.25">
      <c r="B14" t="s">
        <v>27</v>
      </c>
      <c r="C14">
        <v>10</v>
      </c>
    </row>
    <row r="15" spans="2:7" x14ac:dyDescent="0.25">
      <c r="B15" t="s">
        <v>26</v>
      </c>
      <c r="C15">
        <v>3.75</v>
      </c>
      <c r="E15" s="22" t="s">
        <v>25</v>
      </c>
      <c r="F15">
        <v>750</v>
      </c>
    </row>
    <row r="16" spans="2:7" x14ac:dyDescent="0.25">
      <c r="B16" t="s">
        <v>24</v>
      </c>
      <c r="C16">
        <f>C13*C14*C15</f>
        <v>750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Data table</vt:lpstr>
      <vt:lpstr>Scenarios</vt:lpstr>
      <vt:lpstr>Scenario Summary</vt:lpstr>
      <vt:lpstr>Goal seek</vt:lpstr>
      <vt:lpstr>Entertainment</vt:lpstr>
      <vt:lpstr>Furniture</vt:lpstr>
      <vt:lpstr>Salary_emp</vt:lpstr>
      <vt:lpstr>Staff_welfare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2024-01-30T16:32:11Z</dcterms:created>
  <dcterms:modified xsi:type="dcterms:W3CDTF">2024-01-30T16:33:10Z</dcterms:modified>
</cp:coreProperties>
</file>