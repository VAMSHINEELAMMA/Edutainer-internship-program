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Window opt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marks_list">'[7]Define name'!$G$10:$G$14</definedName>
    <definedName name="marks_list1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9" i="1" l="1"/>
  <c r="I289" i="1"/>
  <c r="K289" i="1" s="1"/>
  <c r="M289" i="1" s="1"/>
  <c r="H289" i="1"/>
  <c r="G289" i="1"/>
  <c r="F289" i="1"/>
  <c r="N288" i="1"/>
  <c r="J288" i="1"/>
  <c r="I288" i="1"/>
  <c r="K288" i="1" s="1"/>
  <c r="M288" i="1" s="1"/>
  <c r="H288" i="1"/>
  <c r="G288" i="1"/>
  <c r="F288" i="1"/>
  <c r="J287" i="1"/>
  <c r="I287" i="1"/>
  <c r="K287" i="1" s="1"/>
  <c r="M287" i="1" s="1"/>
  <c r="H287" i="1"/>
  <c r="G287" i="1"/>
  <c r="F287" i="1"/>
  <c r="N286" i="1"/>
  <c r="J286" i="1"/>
  <c r="I286" i="1"/>
  <c r="K286" i="1" s="1"/>
  <c r="M286" i="1" s="1"/>
  <c r="H286" i="1"/>
  <c r="G286" i="1"/>
  <c r="F286" i="1"/>
  <c r="J285" i="1"/>
  <c r="I285" i="1"/>
  <c r="K285" i="1" s="1"/>
  <c r="M285" i="1" s="1"/>
  <c r="H285" i="1"/>
  <c r="G285" i="1"/>
  <c r="F285" i="1"/>
  <c r="N284" i="1"/>
  <c r="J284" i="1"/>
  <c r="I284" i="1"/>
  <c r="K284" i="1" s="1"/>
  <c r="M284" i="1" s="1"/>
  <c r="H284" i="1"/>
  <c r="G284" i="1"/>
  <c r="F284" i="1"/>
  <c r="J283" i="1"/>
  <c r="I283" i="1"/>
  <c r="K283" i="1" s="1"/>
  <c r="M283" i="1" s="1"/>
  <c r="H283" i="1"/>
  <c r="G283" i="1"/>
  <c r="F283" i="1"/>
  <c r="N282" i="1"/>
  <c r="J282" i="1"/>
  <c r="I282" i="1"/>
  <c r="K282" i="1" s="1"/>
  <c r="M282" i="1" s="1"/>
  <c r="H282" i="1"/>
  <c r="G282" i="1"/>
  <c r="F282" i="1"/>
  <c r="J281" i="1"/>
  <c r="I281" i="1"/>
  <c r="K281" i="1" s="1"/>
  <c r="M281" i="1" s="1"/>
  <c r="H281" i="1"/>
  <c r="G281" i="1"/>
  <c r="F281" i="1"/>
  <c r="N280" i="1"/>
  <c r="J280" i="1"/>
  <c r="I280" i="1"/>
  <c r="K280" i="1" s="1"/>
  <c r="M280" i="1" s="1"/>
  <c r="H280" i="1"/>
  <c r="G280" i="1"/>
  <c r="F280" i="1"/>
  <c r="J279" i="1"/>
  <c r="I279" i="1"/>
  <c r="K279" i="1" s="1"/>
  <c r="M279" i="1" s="1"/>
  <c r="H279" i="1"/>
  <c r="G279" i="1"/>
  <c r="F279" i="1"/>
  <c r="N278" i="1"/>
  <c r="J278" i="1"/>
  <c r="I278" i="1"/>
  <c r="K278" i="1" s="1"/>
  <c r="M278" i="1" s="1"/>
  <c r="H278" i="1"/>
  <c r="G278" i="1"/>
  <c r="F278" i="1"/>
  <c r="J277" i="1"/>
  <c r="I277" i="1"/>
  <c r="K277" i="1" s="1"/>
  <c r="M277" i="1" s="1"/>
  <c r="H277" i="1"/>
  <c r="G277" i="1"/>
  <c r="F277" i="1"/>
  <c r="N276" i="1"/>
  <c r="J276" i="1"/>
  <c r="I276" i="1"/>
  <c r="K276" i="1" s="1"/>
  <c r="M276" i="1" s="1"/>
  <c r="H276" i="1"/>
  <c r="G276" i="1"/>
  <c r="F276" i="1"/>
  <c r="J275" i="1"/>
  <c r="I275" i="1"/>
  <c r="K275" i="1" s="1"/>
  <c r="M275" i="1" s="1"/>
  <c r="H275" i="1"/>
  <c r="G275" i="1"/>
  <c r="F275" i="1"/>
  <c r="N274" i="1"/>
  <c r="J274" i="1"/>
  <c r="I274" i="1"/>
  <c r="K274" i="1" s="1"/>
  <c r="M274" i="1" s="1"/>
  <c r="H274" i="1"/>
  <c r="G274" i="1"/>
  <c r="F274" i="1"/>
  <c r="J273" i="1"/>
  <c r="I273" i="1"/>
  <c r="K273" i="1" s="1"/>
  <c r="M273" i="1" s="1"/>
  <c r="H273" i="1"/>
  <c r="G273" i="1"/>
  <c r="F273" i="1"/>
  <c r="N272" i="1"/>
  <c r="J272" i="1"/>
  <c r="I272" i="1"/>
  <c r="K272" i="1" s="1"/>
  <c r="M272" i="1" s="1"/>
  <c r="H272" i="1"/>
  <c r="G272" i="1"/>
  <c r="F272" i="1"/>
  <c r="J271" i="1"/>
  <c r="I271" i="1"/>
  <c r="K271" i="1" s="1"/>
  <c r="H271" i="1"/>
  <c r="G271" i="1"/>
  <c r="F271" i="1"/>
  <c r="J270" i="1"/>
  <c r="H270" i="1"/>
  <c r="G270" i="1"/>
  <c r="F270" i="1"/>
  <c r="I270" i="1" s="1"/>
  <c r="J269" i="1"/>
  <c r="I269" i="1"/>
  <c r="K269" i="1" s="1"/>
  <c r="H269" i="1"/>
  <c r="G269" i="1"/>
  <c r="F269" i="1"/>
  <c r="J268" i="1"/>
  <c r="H268" i="1"/>
  <c r="G268" i="1"/>
  <c r="F268" i="1"/>
  <c r="I268" i="1" s="1"/>
  <c r="J267" i="1"/>
  <c r="I267" i="1"/>
  <c r="K267" i="1" s="1"/>
  <c r="H267" i="1"/>
  <c r="G267" i="1"/>
  <c r="F267" i="1"/>
  <c r="J266" i="1"/>
  <c r="H266" i="1"/>
  <c r="G266" i="1"/>
  <c r="F266" i="1"/>
  <c r="I266" i="1" s="1"/>
  <c r="J265" i="1"/>
  <c r="I265" i="1"/>
  <c r="K265" i="1" s="1"/>
  <c r="H265" i="1"/>
  <c r="G265" i="1"/>
  <c r="F265" i="1"/>
  <c r="J264" i="1"/>
  <c r="H264" i="1"/>
  <c r="G264" i="1"/>
  <c r="F264" i="1"/>
  <c r="I264" i="1" s="1"/>
  <c r="J263" i="1"/>
  <c r="I263" i="1"/>
  <c r="K263" i="1" s="1"/>
  <c r="H263" i="1"/>
  <c r="G263" i="1"/>
  <c r="F263" i="1"/>
  <c r="J262" i="1"/>
  <c r="H262" i="1"/>
  <c r="G262" i="1"/>
  <c r="F262" i="1"/>
  <c r="I262" i="1" s="1"/>
  <c r="J261" i="1"/>
  <c r="I261" i="1"/>
  <c r="K261" i="1" s="1"/>
  <c r="H261" i="1"/>
  <c r="G261" i="1"/>
  <c r="F261" i="1"/>
  <c r="J260" i="1"/>
  <c r="H260" i="1"/>
  <c r="G260" i="1"/>
  <c r="F260" i="1"/>
  <c r="I260" i="1" s="1"/>
  <c r="J259" i="1"/>
  <c r="I259" i="1"/>
  <c r="K259" i="1" s="1"/>
  <c r="H259" i="1"/>
  <c r="G259" i="1"/>
  <c r="F259" i="1"/>
  <c r="J258" i="1"/>
  <c r="H258" i="1"/>
  <c r="G258" i="1"/>
  <c r="F258" i="1"/>
  <c r="I258" i="1" s="1"/>
  <c r="J257" i="1"/>
  <c r="I257" i="1"/>
  <c r="K257" i="1" s="1"/>
  <c r="H257" i="1"/>
  <c r="G257" i="1"/>
  <c r="F257" i="1"/>
  <c r="J256" i="1"/>
  <c r="H256" i="1"/>
  <c r="G256" i="1"/>
  <c r="F256" i="1"/>
  <c r="I256" i="1" s="1"/>
  <c r="J255" i="1"/>
  <c r="I255" i="1"/>
  <c r="K255" i="1" s="1"/>
  <c r="H255" i="1"/>
  <c r="G255" i="1"/>
  <c r="F255" i="1"/>
  <c r="J254" i="1"/>
  <c r="H254" i="1"/>
  <c r="G254" i="1"/>
  <c r="F254" i="1"/>
  <c r="I254" i="1" s="1"/>
  <c r="J253" i="1"/>
  <c r="I253" i="1"/>
  <c r="K253" i="1" s="1"/>
  <c r="H253" i="1"/>
  <c r="G253" i="1"/>
  <c r="F253" i="1"/>
  <c r="J252" i="1"/>
  <c r="H252" i="1"/>
  <c r="G252" i="1"/>
  <c r="F252" i="1"/>
  <c r="I252" i="1" s="1"/>
  <c r="J251" i="1"/>
  <c r="I251" i="1"/>
  <c r="K251" i="1" s="1"/>
  <c r="H251" i="1"/>
  <c r="G251" i="1"/>
  <c r="F251" i="1"/>
  <c r="J250" i="1"/>
  <c r="H250" i="1"/>
  <c r="G250" i="1"/>
  <c r="F250" i="1"/>
  <c r="I250" i="1" s="1"/>
  <c r="J249" i="1"/>
  <c r="I249" i="1"/>
  <c r="K249" i="1" s="1"/>
  <c r="H249" i="1"/>
  <c r="G249" i="1"/>
  <c r="F249" i="1"/>
  <c r="J248" i="1"/>
  <c r="H248" i="1"/>
  <c r="G248" i="1"/>
  <c r="F248" i="1"/>
  <c r="I248" i="1" s="1"/>
  <c r="J247" i="1"/>
  <c r="I247" i="1"/>
  <c r="K247" i="1" s="1"/>
  <c r="H247" i="1"/>
  <c r="G247" i="1"/>
  <c r="F247" i="1"/>
  <c r="J246" i="1"/>
  <c r="H246" i="1"/>
  <c r="G246" i="1"/>
  <c r="F246" i="1"/>
  <c r="I246" i="1" s="1"/>
  <c r="J245" i="1"/>
  <c r="I245" i="1"/>
  <c r="K245" i="1" s="1"/>
  <c r="H245" i="1"/>
  <c r="G245" i="1"/>
  <c r="F245" i="1"/>
  <c r="J244" i="1"/>
  <c r="H244" i="1"/>
  <c r="G244" i="1"/>
  <c r="F244" i="1"/>
  <c r="I244" i="1" s="1"/>
  <c r="J243" i="1"/>
  <c r="I243" i="1"/>
  <c r="K243" i="1" s="1"/>
  <c r="H243" i="1"/>
  <c r="G243" i="1"/>
  <c r="F243" i="1"/>
  <c r="J242" i="1"/>
  <c r="H242" i="1"/>
  <c r="G242" i="1"/>
  <c r="F242" i="1"/>
  <c r="I242" i="1" s="1"/>
  <c r="J241" i="1"/>
  <c r="I241" i="1"/>
  <c r="K241" i="1" s="1"/>
  <c r="H241" i="1"/>
  <c r="G241" i="1"/>
  <c r="F241" i="1"/>
  <c r="J240" i="1"/>
  <c r="H240" i="1"/>
  <c r="G240" i="1"/>
  <c r="F240" i="1"/>
  <c r="I240" i="1" s="1"/>
  <c r="J239" i="1"/>
  <c r="I239" i="1"/>
  <c r="K239" i="1" s="1"/>
  <c r="H239" i="1"/>
  <c r="G239" i="1"/>
  <c r="F239" i="1"/>
  <c r="J238" i="1"/>
  <c r="H238" i="1"/>
  <c r="G238" i="1"/>
  <c r="F238" i="1"/>
  <c r="I238" i="1" s="1"/>
  <c r="J237" i="1"/>
  <c r="I237" i="1"/>
  <c r="K237" i="1" s="1"/>
  <c r="H237" i="1"/>
  <c r="G237" i="1"/>
  <c r="F237" i="1"/>
  <c r="J236" i="1"/>
  <c r="H236" i="1"/>
  <c r="G236" i="1"/>
  <c r="F236" i="1"/>
  <c r="I236" i="1" s="1"/>
  <c r="J235" i="1"/>
  <c r="I235" i="1"/>
  <c r="K235" i="1" s="1"/>
  <c r="H235" i="1"/>
  <c r="G235" i="1"/>
  <c r="F235" i="1"/>
  <c r="J234" i="1"/>
  <c r="H234" i="1"/>
  <c r="G234" i="1"/>
  <c r="F234" i="1"/>
  <c r="I234" i="1" s="1"/>
  <c r="K234" i="1" s="1"/>
  <c r="J233" i="1"/>
  <c r="I233" i="1"/>
  <c r="H233" i="1"/>
  <c r="G233" i="1"/>
  <c r="F233" i="1"/>
  <c r="J232" i="1"/>
  <c r="H232" i="1"/>
  <c r="G232" i="1"/>
  <c r="F232" i="1"/>
  <c r="I232" i="1" s="1"/>
  <c r="K232" i="1" s="1"/>
  <c r="J231" i="1"/>
  <c r="I231" i="1"/>
  <c r="H231" i="1"/>
  <c r="G231" i="1"/>
  <c r="F231" i="1"/>
  <c r="J230" i="1"/>
  <c r="H230" i="1"/>
  <c r="G230" i="1"/>
  <c r="F230" i="1"/>
  <c r="I230" i="1" s="1"/>
  <c r="K230" i="1" s="1"/>
  <c r="J229" i="1"/>
  <c r="I229" i="1"/>
  <c r="H229" i="1"/>
  <c r="G229" i="1"/>
  <c r="F229" i="1"/>
  <c r="J228" i="1"/>
  <c r="H228" i="1"/>
  <c r="G228" i="1"/>
  <c r="F228" i="1"/>
  <c r="I228" i="1" s="1"/>
  <c r="K228" i="1" s="1"/>
  <c r="J227" i="1"/>
  <c r="I227" i="1"/>
  <c r="H227" i="1"/>
  <c r="G227" i="1"/>
  <c r="F227" i="1"/>
  <c r="J226" i="1"/>
  <c r="H226" i="1"/>
  <c r="G226" i="1"/>
  <c r="F226" i="1"/>
  <c r="I226" i="1" s="1"/>
  <c r="K226" i="1" s="1"/>
  <c r="J225" i="1"/>
  <c r="I225" i="1"/>
  <c r="H225" i="1"/>
  <c r="G225" i="1"/>
  <c r="F225" i="1"/>
  <c r="J224" i="1"/>
  <c r="H224" i="1"/>
  <c r="G224" i="1"/>
  <c r="F224" i="1"/>
  <c r="I224" i="1" s="1"/>
  <c r="K224" i="1" s="1"/>
  <c r="J223" i="1"/>
  <c r="I223" i="1"/>
  <c r="H223" i="1"/>
  <c r="G223" i="1"/>
  <c r="F223" i="1"/>
  <c r="J222" i="1"/>
  <c r="H222" i="1"/>
  <c r="G222" i="1"/>
  <c r="F222" i="1"/>
  <c r="I222" i="1" s="1"/>
  <c r="K222" i="1" s="1"/>
  <c r="J221" i="1"/>
  <c r="I221" i="1"/>
  <c r="H221" i="1"/>
  <c r="G221" i="1"/>
  <c r="F221" i="1"/>
  <c r="J220" i="1"/>
  <c r="H220" i="1"/>
  <c r="G220" i="1"/>
  <c r="F220" i="1"/>
  <c r="I220" i="1" s="1"/>
  <c r="K220" i="1" s="1"/>
  <c r="J219" i="1"/>
  <c r="I219" i="1"/>
  <c r="H219" i="1"/>
  <c r="G219" i="1"/>
  <c r="F219" i="1"/>
  <c r="J218" i="1"/>
  <c r="H218" i="1"/>
  <c r="G218" i="1"/>
  <c r="F218" i="1"/>
  <c r="I218" i="1" s="1"/>
  <c r="K218" i="1" s="1"/>
  <c r="J217" i="1"/>
  <c r="I217" i="1"/>
  <c r="H217" i="1"/>
  <c r="G217" i="1"/>
  <c r="F217" i="1"/>
  <c r="J216" i="1"/>
  <c r="H216" i="1"/>
  <c r="G216" i="1"/>
  <c r="F216" i="1"/>
  <c r="I216" i="1" s="1"/>
  <c r="K216" i="1" s="1"/>
  <c r="J215" i="1"/>
  <c r="I215" i="1"/>
  <c r="H215" i="1"/>
  <c r="G215" i="1"/>
  <c r="F215" i="1"/>
  <c r="J214" i="1"/>
  <c r="H214" i="1"/>
  <c r="G214" i="1"/>
  <c r="F214" i="1"/>
  <c r="I214" i="1" s="1"/>
  <c r="K214" i="1" s="1"/>
  <c r="J213" i="1"/>
  <c r="I213" i="1"/>
  <c r="H213" i="1"/>
  <c r="G213" i="1"/>
  <c r="F213" i="1"/>
  <c r="J212" i="1"/>
  <c r="H212" i="1"/>
  <c r="G212" i="1"/>
  <c r="F212" i="1"/>
  <c r="I212" i="1" s="1"/>
  <c r="K212" i="1" s="1"/>
  <c r="J211" i="1"/>
  <c r="I211" i="1"/>
  <c r="H211" i="1"/>
  <c r="G211" i="1"/>
  <c r="F211" i="1"/>
  <c r="J210" i="1"/>
  <c r="H210" i="1"/>
  <c r="G210" i="1"/>
  <c r="F210" i="1"/>
  <c r="I210" i="1" s="1"/>
  <c r="K210" i="1" s="1"/>
  <c r="J209" i="1"/>
  <c r="I209" i="1"/>
  <c r="H209" i="1"/>
  <c r="G209" i="1"/>
  <c r="F209" i="1"/>
  <c r="J208" i="1"/>
  <c r="H208" i="1"/>
  <c r="G208" i="1"/>
  <c r="F208" i="1"/>
  <c r="I208" i="1" s="1"/>
  <c r="K208" i="1" s="1"/>
  <c r="J207" i="1"/>
  <c r="I207" i="1"/>
  <c r="H207" i="1"/>
  <c r="G207" i="1"/>
  <c r="F207" i="1"/>
  <c r="J206" i="1"/>
  <c r="I206" i="1"/>
  <c r="K206" i="1" s="1"/>
  <c r="M206" i="1" s="1"/>
  <c r="H206" i="1"/>
  <c r="G206" i="1"/>
  <c r="F206" i="1"/>
  <c r="J205" i="1"/>
  <c r="H205" i="1"/>
  <c r="G205" i="1"/>
  <c r="F205" i="1"/>
  <c r="J204" i="1"/>
  <c r="H204" i="1"/>
  <c r="G204" i="1"/>
  <c r="F204" i="1"/>
  <c r="J203" i="1"/>
  <c r="H203" i="1"/>
  <c r="G203" i="1"/>
  <c r="F203" i="1"/>
  <c r="J202" i="1"/>
  <c r="H202" i="1"/>
  <c r="G202" i="1"/>
  <c r="F202" i="1"/>
  <c r="J201" i="1"/>
  <c r="H201" i="1"/>
  <c r="G201" i="1"/>
  <c r="F201" i="1"/>
  <c r="J200" i="1"/>
  <c r="H200" i="1"/>
  <c r="G200" i="1"/>
  <c r="F200" i="1"/>
  <c r="J199" i="1"/>
  <c r="H199" i="1"/>
  <c r="G199" i="1"/>
  <c r="F199" i="1"/>
  <c r="J198" i="1"/>
  <c r="H198" i="1"/>
  <c r="G198" i="1"/>
  <c r="F198" i="1"/>
  <c r="J197" i="1"/>
  <c r="H197" i="1"/>
  <c r="G197" i="1"/>
  <c r="F197" i="1"/>
  <c r="J196" i="1"/>
  <c r="H196" i="1"/>
  <c r="G196" i="1"/>
  <c r="F196" i="1"/>
  <c r="J195" i="1"/>
  <c r="H195" i="1"/>
  <c r="G195" i="1"/>
  <c r="F195" i="1"/>
  <c r="J194" i="1"/>
  <c r="H194" i="1"/>
  <c r="G194" i="1"/>
  <c r="F194" i="1"/>
  <c r="J193" i="1"/>
  <c r="H193" i="1"/>
  <c r="G193" i="1"/>
  <c r="F193" i="1"/>
  <c r="J192" i="1"/>
  <c r="H192" i="1"/>
  <c r="G192" i="1"/>
  <c r="F192" i="1"/>
  <c r="J191" i="1"/>
  <c r="H191" i="1"/>
  <c r="G191" i="1"/>
  <c r="F191" i="1"/>
  <c r="J190" i="1"/>
  <c r="H190" i="1"/>
  <c r="G190" i="1"/>
  <c r="F190" i="1"/>
  <c r="J189" i="1"/>
  <c r="H189" i="1"/>
  <c r="G189" i="1"/>
  <c r="F189" i="1"/>
  <c r="J188" i="1"/>
  <c r="H188" i="1"/>
  <c r="G188" i="1"/>
  <c r="F188" i="1"/>
  <c r="J187" i="1"/>
  <c r="H187" i="1"/>
  <c r="G187" i="1"/>
  <c r="F187" i="1"/>
  <c r="J186" i="1"/>
  <c r="H186" i="1"/>
  <c r="G186" i="1"/>
  <c r="F186" i="1"/>
  <c r="J185" i="1"/>
  <c r="H185" i="1"/>
  <c r="G185" i="1"/>
  <c r="F185" i="1"/>
  <c r="J184" i="1"/>
  <c r="H184" i="1"/>
  <c r="G184" i="1"/>
  <c r="F184" i="1"/>
  <c r="J183" i="1"/>
  <c r="H183" i="1"/>
  <c r="G183" i="1"/>
  <c r="F183" i="1"/>
  <c r="J182" i="1"/>
  <c r="H182" i="1"/>
  <c r="G182" i="1"/>
  <c r="F182" i="1"/>
  <c r="J181" i="1"/>
  <c r="H181" i="1"/>
  <c r="G181" i="1"/>
  <c r="F181" i="1"/>
  <c r="J180" i="1"/>
  <c r="H180" i="1"/>
  <c r="G180" i="1"/>
  <c r="F180" i="1"/>
  <c r="J179" i="1"/>
  <c r="H179" i="1"/>
  <c r="G179" i="1"/>
  <c r="F179" i="1"/>
  <c r="J178" i="1"/>
  <c r="H178" i="1"/>
  <c r="G178" i="1"/>
  <c r="F178" i="1"/>
  <c r="J177" i="1"/>
  <c r="H177" i="1"/>
  <c r="G177" i="1"/>
  <c r="F177" i="1"/>
  <c r="I177" i="1" s="1"/>
  <c r="J176" i="1"/>
  <c r="H176" i="1"/>
  <c r="G176" i="1"/>
  <c r="F176" i="1"/>
  <c r="I176" i="1" s="1"/>
  <c r="J175" i="1"/>
  <c r="H175" i="1"/>
  <c r="G175" i="1"/>
  <c r="F175" i="1"/>
  <c r="I175" i="1" s="1"/>
  <c r="J174" i="1"/>
  <c r="H174" i="1"/>
  <c r="G174" i="1"/>
  <c r="F174" i="1"/>
  <c r="J173" i="1"/>
  <c r="H173" i="1"/>
  <c r="G173" i="1"/>
  <c r="F173" i="1"/>
  <c r="I173" i="1" s="1"/>
  <c r="J172" i="1"/>
  <c r="H172" i="1"/>
  <c r="G172" i="1"/>
  <c r="F172" i="1"/>
  <c r="I172" i="1" s="1"/>
  <c r="J171" i="1"/>
  <c r="H171" i="1"/>
  <c r="G171" i="1"/>
  <c r="F171" i="1"/>
  <c r="I171" i="1" s="1"/>
  <c r="J170" i="1"/>
  <c r="H170" i="1"/>
  <c r="G170" i="1"/>
  <c r="F170" i="1"/>
  <c r="J169" i="1"/>
  <c r="H169" i="1"/>
  <c r="G169" i="1"/>
  <c r="F169" i="1"/>
  <c r="I169" i="1" s="1"/>
  <c r="J168" i="1"/>
  <c r="H168" i="1"/>
  <c r="G168" i="1"/>
  <c r="F168" i="1"/>
  <c r="I168" i="1" s="1"/>
  <c r="J167" i="1"/>
  <c r="H167" i="1"/>
  <c r="G167" i="1"/>
  <c r="F167" i="1"/>
  <c r="I167" i="1" s="1"/>
  <c r="J166" i="1"/>
  <c r="H166" i="1"/>
  <c r="G166" i="1"/>
  <c r="F166" i="1"/>
  <c r="J165" i="1"/>
  <c r="H165" i="1"/>
  <c r="G165" i="1"/>
  <c r="F165" i="1"/>
  <c r="J164" i="1"/>
  <c r="H164" i="1"/>
  <c r="G164" i="1"/>
  <c r="F164" i="1"/>
  <c r="I164" i="1" s="1"/>
  <c r="J163" i="1"/>
  <c r="H163" i="1"/>
  <c r="G163" i="1"/>
  <c r="F163" i="1"/>
  <c r="I163" i="1" s="1"/>
  <c r="J162" i="1"/>
  <c r="H162" i="1"/>
  <c r="G162" i="1"/>
  <c r="F162" i="1"/>
  <c r="J161" i="1"/>
  <c r="H161" i="1"/>
  <c r="G161" i="1"/>
  <c r="F161" i="1"/>
  <c r="J160" i="1"/>
  <c r="H160" i="1"/>
  <c r="G160" i="1"/>
  <c r="F160" i="1"/>
  <c r="J159" i="1"/>
  <c r="H159" i="1"/>
  <c r="G159" i="1"/>
  <c r="F159" i="1"/>
  <c r="J158" i="1"/>
  <c r="H158" i="1"/>
  <c r="G158" i="1"/>
  <c r="F158" i="1"/>
  <c r="J157" i="1"/>
  <c r="H157" i="1"/>
  <c r="G157" i="1"/>
  <c r="F157" i="1"/>
  <c r="J156" i="1"/>
  <c r="H156" i="1"/>
  <c r="G156" i="1"/>
  <c r="F156" i="1"/>
  <c r="I156" i="1" s="1"/>
  <c r="J155" i="1"/>
  <c r="H155" i="1"/>
  <c r="G155" i="1"/>
  <c r="F155" i="1"/>
  <c r="I155" i="1" s="1"/>
  <c r="J154" i="1"/>
  <c r="H154" i="1"/>
  <c r="G154" i="1"/>
  <c r="F154" i="1"/>
  <c r="I154" i="1" s="1"/>
  <c r="J153" i="1"/>
  <c r="H153" i="1"/>
  <c r="G153" i="1"/>
  <c r="F153" i="1"/>
  <c r="I153" i="1" s="1"/>
  <c r="J152" i="1"/>
  <c r="H152" i="1"/>
  <c r="G152" i="1"/>
  <c r="F152" i="1"/>
  <c r="I152" i="1" s="1"/>
  <c r="J151" i="1"/>
  <c r="H151" i="1"/>
  <c r="G151" i="1"/>
  <c r="F151" i="1"/>
  <c r="I151" i="1" s="1"/>
  <c r="J150" i="1"/>
  <c r="H150" i="1"/>
  <c r="G150" i="1"/>
  <c r="F150" i="1"/>
  <c r="I150" i="1" s="1"/>
  <c r="J149" i="1"/>
  <c r="H149" i="1"/>
  <c r="G149" i="1"/>
  <c r="F149" i="1"/>
  <c r="I149" i="1" s="1"/>
  <c r="J148" i="1"/>
  <c r="H148" i="1"/>
  <c r="G148" i="1"/>
  <c r="F148" i="1"/>
  <c r="I148" i="1" s="1"/>
  <c r="J147" i="1"/>
  <c r="H147" i="1"/>
  <c r="G147" i="1"/>
  <c r="F147" i="1"/>
  <c r="I147" i="1" s="1"/>
  <c r="J146" i="1"/>
  <c r="H146" i="1"/>
  <c r="G146" i="1"/>
  <c r="F146" i="1"/>
  <c r="I146" i="1" s="1"/>
  <c r="J145" i="1"/>
  <c r="H145" i="1"/>
  <c r="G145" i="1"/>
  <c r="F145" i="1"/>
  <c r="I145" i="1" s="1"/>
  <c r="J144" i="1"/>
  <c r="H144" i="1"/>
  <c r="G144" i="1"/>
  <c r="F144" i="1"/>
  <c r="I144" i="1" s="1"/>
  <c r="J143" i="1"/>
  <c r="H143" i="1"/>
  <c r="G143" i="1"/>
  <c r="F143" i="1"/>
  <c r="I143" i="1" s="1"/>
  <c r="J142" i="1"/>
  <c r="H142" i="1"/>
  <c r="G142" i="1"/>
  <c r="F142" i="1"/>
  <c r="I142" i="1" s="1"/>
  <c r="J141" i="1"/>
  <c r="H141" i="1"/>
  <c r="G141" i="1"/>
  <c r="F141" i="1"/>
  <c r="I141" i="1" s="1"/>
  <c r="J140" i="1"/>
  <c r="H140" i="1"/>
  <c r="G140" i="1"/>
  <c r="F140" i="1"/>
  <c r="I140" i="1" s="1"/>
  <c r="J139" i="1"/>
  <c r="H139" i="1"/>
  <c r="G139" i="1"/>
  <c r="I139" i="1" s="1"/>
  <c r="F139" i="1"/>
  <c r="J138" i="1"/>
  <c r="H138" i="1"/>
  <c r="G138" i="1"/>
  <c r="I138" i="1" s="1"/>
  <c r="F138" i="1"/>
  <c r="J137" i="1"/>
  <c r="H137" i="1"/>
  <c r="G137" i="1"/>
  <c r="I137" i="1" s="1"/>
  <c r="F137" i="1"/>
  <c r="J136" i="1"/>
  <c r="H136" i="1"/>
  <c r="G136" i="1"/>
  <c r="I136" i="1" s="1"/>
  <c r="F136" i="1"/>
  <c r="J135" i="1"/>
  <c r="H135" i="1"/>
  <c r="G135" i="1"/>
  <c r="I135" i="1" s="1"/>
  <c r="F135" i="1"/>
  <c r="J134" i="1"/>
  <c r="H134" i="1"/>
  <c r="G134" i="1"/>
  <c r="I134" i="1" s="1"/>
  <c r="F134" i="1"/>
  <c r="J133" i="1"/>
  <c r="H133" i="1"/>
  <c r="G133" i="1"/>
  <c r="I133" i="1" s="1"/>
  <c r="F133" i="1"/>
  <c r="J132" i="1"/>
  <c r="H132" i="1"/>
  <c r="G132" i="1"/>
  <c r="I132" i="1" s="1"/>
  <c r="F132" i="1"/>
  <c r="J131" i="1"/>
  <c r="H131" i="1"/>
  <c r="G131" i="1"/>
  <c r="I131" i="1" s="1"/>
  <c r="F131" i="1"/>
  <c r="J130" i="1"/>
  <c r="H130" i="1"/>
  <c r="G130" i="1"/>
  <c r="I130" i="1" s="1"/>
  <c r="F130" i="1"/>
  <c r="J129" i="1"/>
  <c r="H129" i="1"/>
  <c r="G129" i="1"/>
  <c r="I129" i="1" s="1"/>
  <c r="F129" i="1"/>
  <c r="J128" i="1"/>
  <c r="H128" i="1"/>
  <c r="G128" i="1"/>
  <c r="I128" i="1" s="1"/>
  <c r="F128" i="1"/>
  <c r="J127" i="1"/>
  <c r="H127" i="1"/>
  <c r="G127" i="1"/>
  <c r="I127" i="1" s="1"/>
  <c r="F127" i="1"/>
  <c r="J126" i="1"/>
  <c r="H126" i="1"/>
  <c r="G126" i="1"/>
  <c r="I126" i="1" s="1"/>
  <c r="K126" i="1" s="1"/>
  <c r="F126" i="1"/>
  <c r="J125" i="1"/>
  <c r="H125" i="1"/>
  <c r="G125" i="1"/>
  <c r="I125" i="1" s="1"/>
  <c r="K125" i="1" s="1"/>
  <c r="F125" i="1"/>
  <c r="K124" i="1"/>
  <c r="J124" i="1"/>
  <c r="H124" i="1"/>
  <c r="G124" i="1"/>
  <c r="I124" i="1" s="1"/>
  <c r="F124" i="1"/>
  <c r="J123" i="1"/>
  <c r="H123" i="1"/>
  <c r="G123" i="1"/>
  <c r="F123" i="1"/>
  <c r="J122" i="1"/>
  <c r="H122" i="1"/>
  <c r="G122" i="1"/>
  <c r="F122" i="1"/>
  <c r="J121" i="1"/>
  <c r="H121" i="1"/>
  <c r="G121" i="1"/>
  <c r="F121" i="1"/>
  <c r="I121" i="1" s="1"/>
  <c r="J120" i="1"/>
  <c r="H120" i="1"/>
  <c r="G120" i="1"/>
  <c r="F120" i="1"/>
  <c r="I120" i="1" s="1"/>
  <c r="J119" i="1"/>
  <c r="H119" i="1"/>
  <c r="G119" i="1"/>
  <c r="F119" i="1"/>
  <c r="I119" i="1" s="1"/>
  <c r="J118" i="1"/>
  <c r="H118" i="1"/>
  <c r="G118" i="1"/>
  <c r="F118" i="1"/>
  <c r="I118" i="1" s="1"/>
  <c r="J117" i="1"/>
  <c r="H117" i="1"/>
  <c r="G117" i="1"/>
  <c r="F117" i="1"/>
  <c r="I117" i="1" s="1"/>
  <c r="J116" i="1"/>
  <c r="H116" i="1"/>
  <c r="G116" i="1"/>
  <c r="F116" i="1"/>
  <c r="I116" i="1" s="1"/>
  <c r="J115" i="1"/>
  <c r="H115" i="1"/>
  <c r="G115" i="1"/>
  <c r="F115" i="1"/>
  <c r="I115" i="1" s="1"/>
  <c r="J114" i="1"/>
  <c r="H114" i="1"/>
  <c r="G114" i="1"/>
  <c r="F114" i="1"/>
  <c r="I114" i="1" s="1"/>
  <c r="J113" i="1"/>
  <c r="H113" i="1"/>
  <c r="G113" i="1"/>
  <c r="F113" i="1"/>
  <c r="I113" i="1" s="1"/>
  <c r="J112" i="1"/>
  <c r="H112" i="1"/>
  <c r="G112" i="1"/>
  <c r="F112" i="1"/>
  <c r="I112" i="1" s="1"/>
  <c r="J111" i="1"/>
  <c r="H111" i="1"/>
  <c r="G111" i="1"/>
  <c r="F111" i="1"/>
  <c r="I111" i="1" s="1"/>
  <c r="J110" i="1"/>
  <c r="H110" i="1"/>
  <c r="G110" i="1"/>
  <c r="F110" i="1"/>
  <c r="I110" i="1" s="1"/>
  <c r="J109" i="1"/>
  <c r="H109" i="1"/>
  <c r="G109" i="1"/>
  <c r="F109" i="1"/>
  <c r="I109" i="1" s="1"/>
  <c r="J108" i="1"/>
  <c r="H108" i="1"/>
  <c r="G108" i="1"/>
  <c r="F108" i="1"/>
  <c r="I108" i="1" s="1"/>
  <c r="J107" i="1"/>
  <c r="H107" i="1"/>
  <c r="G107" i="1"/>
  <c r="F107" i="1"/>
  <c r="I107" i="1" s="1"/>
  <c r="J106" i="1"/>
  <c r="H106" i="1"/>
  <c r="G106" i="1"/>
  <c r="F106" i="1"/>
  <c r="I106" i="1" s="1"/>
  <c r="J105" i="1"/>
  <c r="H105" i="1"/>
  <c r="G105" i="1"/>
  <c r="F105" i="1"/>
  <c r="I105" i="1" s="1"/>
  <c r="J104" i="1"/>
  <c r="H104" i="1"/>
  <c r="G104" i="1"/>
  <c r="F104" i="1"/>
  <c r="I104" i="1" s="1"/>
  <c r="J103" i="1"/>
  <c r="H103" i="1"/>
  <c r="G103" i="1"/>
  <c r="F103" i="1"/>
  <c r="I103" i="1" s="1"/>
  <c r="J102" i="1"/>
  <c r="H102" i="1"/>
  <c r="G102" i="1"/>
  <c r="F102" i="1"/>
  <c r="I102" i="1" s="1"/>
  <c r="J101" i="1"/>
  <c r="H101" i="1"/>
  <c r="G101" i="1"/>
  <c r="F101" i="1"/>
  <c r="I101" i="1" s="1"/>
  <c r="J100" i="1"/>
  <c r="H100" i="1"/>
  <c r="G100" i="1"/>
  <c r="F100" i="1"/>
  <c r="I100" i="1" s="1"/>
  <c r="J99" i="1"/>
  <c r="H99" i="1"/>
  <c r="G99" i="1"/>
  <c r="F99" i="1"/>
  <c r="I99" i="1" s="1"/>
  <c r="J98" i="1"/>
  <c r="H98" i="1"/>
  <c r="G98" i="1"/>
  <c r="F98" i="1"/>
  <c r="I98" i="1" s="1"/>
  <c r="J97" i="1"/>
  <c r="H97" i="1"/>
  <c r="G97" i="1"/>
  <c r="F97" i="1"/>
  <c r="I97" i="1" s="1"/>
  <c r="J96" i="1"/>
  <c r="H96" i="1"/>
  <c r="G96" i="1"/>
  <c r="F96" i="1"/>
  <c r="I96" i="1" s="1"/>
  <c r="J95" i="1"/>
  <c r="H95" i="1"/>
  <c r="G95" i="1"/>
  <c r="F95" i="1"/>
  <c r="I95" i="1" s="1"/>
  <c r="J94" i="1"/>
  <c r="H94" i="1"/>
  <c r="G94" i="1"/>
  <c r="F94" i="1"/>
  <c r="I94" i="1" s="1"/>
  <c r="J93" i="1"/>
  <c r="H93" i="1"/>
  <c r="G93" i="1"/>
  <c r="F93" i="1"/>
  <c r="I93" i="1" s="1"/>
  <c r="J92" i="1"/>
  <c r="H92" i="1"/>
  <c r="G92" i="1"/>
  <c r="F92" i="1"/>
  <c r="I92" i="1" s="1"/>
  <c r="J91" i="1"/>
  <c r="H91" i="1"/>
  <c r="G91" i="1"/>
  <c r="F91" i="1"/>
  <c r="I91" i="1" s="1"/>
  <c r="J90" i="1"/>
  <c r="H90" i="1"/>
  <c r="G90" i="1"/>
  <c r="F90" i="1"/>
  <c r="I90" i="1" s="1"/>
  <c r="J89" i="1"/>
  <c r="H89" i="1"/>
  <c r="G89" i="1"/>
  <c r="F89" i="1"/>
  <c r="I89" i="1" s="1"/>
  <c r="J88" i="1"/>
  <c r="H88" i="1"/>
  <c r="G88" i="1"/>
  <c r="F88" i="1"/>
  <c r="I88" i="1" s="1"/>
  <c r="J87" i="1"/>
  <c r="H87" i="1"/>
  <c r="G87" i="1"/>
  <c r="F87" i="1"/>
  <c r="I87" i="1" s="1"/>
  <c r="J86" i="1"/>
  <c r="H86" i="1"/>
  <c r="G86" i="1"/>
  <c r="F86" i="1"/>
  <c r="I86" i="1" s="1"/>
  <c r="J85" i="1"/>
  <c r="H85" i="1"/>
  <c r="G85" i="1"/>
  <c r="F85" i="1"/>
  <c r="I85" i="1" s="1"/>
  <c r="J84" i="1"/>
  <c r="H84" i="1"/>
  <c r="G84" i="1"/>
  <c r="F84" i="1"/>
  <c r="I84" i="1" s="1"/>
  <c r="J83" i="1"/>
  <c r="H83" i="1"/>
  <c r="G83" i="1"/>
  <c r="F83" i="1"/>
  <c r="I83" i="1" s="1"/>
  <c r="J82" i="1"/>
  <c r="H82" i="1"/>
  <c r="G82" i="1"/>
  <c r="F82" i="1"/>
  <c r="I82" i="1" s="1"/>
  <c r="J81" i="1"/>
  <c r="H81" i="1"/>
  <c r="G81" i="1"/>
  <c r="F81" i="1"/>
  <c r="I81" i="1" s="1"/>
  <c r="J80" i="1"/>
  <c r="H80" i="1"/>
  <c r="G80" i="1"/>
  <c r="F80" i="1"/>
  <c r="I80" i="1" s="1"/>
  <c r="J79" i="1"/>
  <c r="H79" i="1"/>
  <c r="G79" i="1"/>
  <c r="F79" i="1"/>
  <c r="I79" i="1" s="1"/>
  <c r="J78" i="1"/>
  <c r="H78" i="1"/>
  <c r="G78" i="1"/>
  <c r="F78" i="1"/>
  <c r="I78" i="1" s="1"/>
  <c r="J77" i="1"/>
  <c r="H77" i="1"/>
  <c r="G77" i="1"/>
  <c r="F77" i="1"/>
  <c r="I77" i="1" s="1"/>
  <c r="J76" i="1"/>
  <c r="H76" i="1"/>
  <c r="G76" i="1"/>
  <c r="F76" i="1"/>
  <c r="I76" i="1" s="1"/>
  <c r="J75" i="1"/>
  <c r="H75" i="1"/>
  <c r="G75" i="1"/>
  <c r="F75" i="1"/>
  <c r="I75" i="1" s="1"/>
  <c r="J74" i="1"/>
  <c r="H74" i="1"/>
  <c r="G74" i="1"/>
  <c r="F74" i="1"/>
  <c r="I74" i="1" s="1"/>
  <c r="J73" i="1"/>
  <c r="H73" i="1"/>
  <c r="G73" i="1"/>
  <c r="F73" i="1"/>
  <c r="I73" i="1" s="1"/>
  <c r="J72" i="1"/>
  <c r="H72" i="1"/>
  <c r="G72" i="1"/>
  <c r="F72" i="1"/>
  <c r="J71" i="1"/>
  <c r="H71" i="1"/>
  <c r="G71" i="1"/>
  <c r="F71" i="1"/>
  <c r="I71" i="1" s="1"/>
  <c r="J70" i="1"/>
  <c r="H70" i="1"/>
  <c r="G70" i="1"/>
  <c r="F70" i="1"/>
  <c r="J69" i="1"/>
  <c r="H69" i="1"/>
  <c r="G69" i="1"/>
  <c r="F69" i="1"/>
  <c r="I69" i="1" s="1"/>
  <c r="J68" i="1"/>
  <c r="H68" i="1"/>
  <c r="G68" i="1"/>
  <c r="F68" i="1"/>
  <c r="J67" i="1"/>
  <c r="H67" i="1"/>
  <c r="G67" i="1"/>
  <c r="F67" i="1"/>
  <c r="I67" i="1" s="1"/>
  <c r="J66" i="1"/>
  <c r="H66" i="1"/>
  <c r="G66" i="1"/>
  <c r="F66" i="1"/>
  <c r="J65" i="1"/>
  <c r="H65" i="1"/>
  <c r="G65" i="1"/>
  <c r="F65" i="1"/>
  <c r="I65" i="1" s="1"/>
  <c r="J64" i="1"/>
  <c r="H64" i="1"/>
  <c r="G64" i="1"/>
  <c r="F64" i="1"/>
  <c r="J63" i="1"/>
  <c r="H63" i="1"/>
  <c r="G63" i="1"/>
  <c r="F63" i="1"/>
  <c r="I63" i="1" s="1"/>
  <c r="J62" i="1"/>
  <c r="H62" i="1"/>
  <c r="G62" i="1"/>
  <c r="F62" i="1"/>
  <c r="J61" i="1"/>
  <c r="H61" i="1"/>
  <c r="G61" i="1"/>
  <c r="F61" i="1"/>
  <c r="I61" i="1" s="1"/>
  <c r="J60" i="1"/>
  <c r="H60" i="1"/>
  <c r="G60" i="1"/>
  <c r="F60" i="1"/>
  <c r="J59" i="1"/>
  <c r="H59" i="1"/>
  <c r="G59" i="1"/>
  <c r="F59" i="1"/>
  <c r="I59" i="1" s="1"/>
  <c r="J58" i="1"/>
  <c r="H58" i="1"/>
  <c r="G58" i="1"/>
  <c r="F58" i="1"/>
  <c r="I58" i="1" s="1"/>
  <c r="J57" i="1"/>
  <c r="H57" i="1"/>
  <c r="G57" i="1"/>
  <c r="F57" i="1"/>
  <c r="I57" i="1" s="1"/>
  <c r="J56" i="1"/>
  <c r="H56" i="1"/>
  <c r="G56" i="1"/>
  <c r="F56" i="1"/>
  <c r="I56" i="1" s="1"/>
  <c r="J55" i="1"/>
  <c r="H55" i="1"/>
  <c r="G55" i="1"/>
  <c r="F55" i="1"/>
  <c r="I55" i="1" s="1"/>
  <c r="J54" i="1"/>
  <c r="H54" i="1"/>
  <c r="G54" i="1"/>
  <c r="F54" i="1"/>
  <c r="I54" i="1" s="1"/>
  <c r="J53" i="1"/>
  <c r="H53" i="1"/>
  <c r="G53" i="1"/>
  <c r="F53" i="1"/>
  <c r="I53" i="1" s="1"/>
  <c r="J52" i="1"/>
  <c r="H52" i="1"/>
  <c r="G52" i="1"/>
  <c r="F52" i="1"/>
  <c r="I52" i="1" s="1"/>
  <c r="J51" i="1"/>
  <c r="H51" i="1"/>
  <c r="G51" i="1"/>
  <c r="F51" i="1"/>
  <c r="I51" i="1" s="1"/>
  <c r="J50" i="1"/>
  <c r="H50" i="1"/>
  <c r="G50" i="1"/>
  <c r="F50" i="1"/>
  <c r="I50" i="1" s="1"/>
  <c r="J49" i="1"/>
  <c r="H49" i="1"/>
  <c r="G49" i="1"/>
  <c r="F49" i="1"/>
  <c r="I49" i="1" s="1"/>
  <c r="J48" i="1"/>
  <c r="H48" i="1"/>
  <c r="G48" i="1"/>
  <c r="F48" i="1"/>
  <c r="I48" i="1" s="1"/>
  <c r="J47" i="1"/>
  <c r="H47" i="1"/>
  <c r="G47" i="1"/>
  <c r="F47" i="1"/>
  <c r="I47" i="1" s="1"/>
  <c r="J46" i="1"/>
  <c r="H46" i="1"/>
  <c r="G46" i="1"/>
  <c r="F46" i="1"/>
  <c r="I46" i="1" s="1"/>
  <c r="J45" i="1"/>
  <c r="H45" i="1"/>
  <c r="G45" i="1"/>
  <c r="F45" i="1"/>
  <c r="I45" i="1" s="1"/>
  <c r="J44" i="1"/>
  <c r="H44" i="1"/>
  <c r="G44" i="1"/>
  <c r="F44" i="1"/>
  <c r="I44" i="1" s="1"/>
  <c r="J43" i="1"/>
  <c r="H43" i="1"/>
  <c r="G43" i="1"/>
  <c r="F43" i="1"/>
  <c r="I43" i="1" s="1"/>
  <c r="J42" i="1"/>
  <c r="H42" i="1"/>
  <c r="G42" i="1"/>
  <c r="F42" i="1"/>
  <c r="I42" i="1" s="1"/>
  <c r="J41" i="1"/>
  <c r="H41" i="1"/>
  <c r="G41" i="1"/>
  <c r="F41" i="1"/>
  <c r="I41" i="1" s="1"/>
  <c r="J40" i="1"/>
  <c r="H40" i="1"/>
  <c r="G40" i="1"/>
  <c r="F40" i="1"/>
  <c r="I40" i="1" s="1"/>
  <c r="J39" i="1"/>
  <c r="H39" i="1"/>
  <c r="G39" i="1"/>
  <c r="F39" i="1"/>
  <c r="I39" i="1" s="1"/>
  <c r="J38" i="1"/>
  <c r="H38" i="1"/>
  <c r="G38" i="1"/>
  <c r="F38" i="1"/>
  <c r="I38" i="1" s="1"/>
  <c r="J37" i="1"/>
  <c r="H37" i="1"/>
  <c r="G37" i="1"/>
  <c r="F37" i="1"/>
  <c r="I37" i="1" s="1"/>
  <c r="J36" i="1"/>
  <c r="H36" i="1"/>
  <c r="G36" i="1"/>
  <c r="F36" i="1"/>
  <c r="I36" i="1" s="1"/>
  <c r="J35" i="1"/>
  <c r="H35" i="1"/>
  <c r="G35" i="1"/>
  <c r="F35" i="1"/>
  <c r="I35" i="1" s="1"/>
  <c r="J34" i="1"/>
  <c r="H34" i="1"/>
  <c r="G34" i="1"/>
  <c r="F34" i="1"/>
  <c r="I34" i="1" s="1"/>
  <c r="J33" i="1"/>
  <c r="H33" i="1"/>
  <c r="G33" i="1"/>
  <c r="F33" i="1"/>
  <c r="I33" i="1" s="1"/>
  <c r="J32" i="1"/>
  <c r="H32" i="1"/>
  <c r="G32" i="1"/>
  <c r="F32" i="1"/>
  <c r="I32" i="1" s="1"/>
  <c r="J31" i="1"/>
  <c r="H31" i="1"/>
  <c r="G31" i="1"/>
  <c r="F31" i="1"/>
  <c r="I31" i="1" s="1"/>
  <c r="J30" i="1"/>
  <c r="H30" i="1"/>
  <c r="G30" i="1"/>
  <c r="F30" i="1"/>
  <c r="I30" i="1" s="1"/>
  <c r="J29" i="1"/>
  <c r="H29" i="1"/>
  <c r="G29" i="1"/>
  <c r="F29" i="1"/>
  <c r="I29" i="1" s="1"/>
  <c r="J28" i="1"/>
  <c r="H28" i="1"/>
  <c r="G28" i="1"/>
  <c r="F28" i="1"/>
  <c r="I28" i="1" s="1"/>
  <c r="J27" i="1"/>
  <c r="H27" i="1"/>
  <c r="G27" i="1"/>
  <c r="F27" i="1"/>
  <c r="I27" i="1" s="1"/>
  <c r="J26" i="1"/>
  <c r="H26" i="1"/>
  <c r="G26" i="1"/>
  <c r="F26" i="1"/>
  <c r="I26" i="1" s="1"/>
  <c r="J25" i="1"/>
  <c r="H25" i="1"/>
  <c r="G25" i="1"/>
  <c r="F25" i="1"/>
  <c r="I25" i="1" s="1"/>
  <c r="J24" i="1"/>
  <c r="H24" i="1"/>
  <c r="G24" i="1"/>
  <c r="F24" i="1"/>
  <c r="I24" i="1" s="1"/>
  <c r="J23" i="1"/>
  <c r="H23" i="1"/>
  <c r="G23" i="1"/>
  <c r="F23" i="1"/>
  <c r="I23" i="1" s="1"/>
  <c r="J22" i="1"/>
  <c r="H22" i="1"/>
  <c r="G22" i="1"/>
  <c r="F22" i="1"/>
  <c r="I22" i="1" s="1"/>
  <c r="J21" i="1"/>
  <c r="H21" i="1"/>
  <c r="G21" i="1"/>
  <c r="F21" i="1"/>
  <c r="I21" i="1" s="1"/>
  <c r="J20" i="1"/>
  <c r="H20" i="1"/>
  <c r="G20" i="1"/>
  <c r="F20" i="1"/>
  <c r="I20" i="1" s="1"/>
  <c r="J19" i="1"/>
  <c r="H19" i="1"/>
  <c r="G19" i="1"/>
  <c r="F19" i="1"/>
  <c r="I19" i="1" s="1"/>
  <c r="J18" i="1"/>
  <c r="H18" i="1"/>
  <c r="G18" i="1"/>
  <c r="F18" i="1"/>
  <c r="I18" i="1" s="1"/>
  <c r="J17" i="1"/>
  <c r="H17" i="1"/>
  <c r="G17" i="1"/>
  <c r="F17" i="1"/>
  <c r="I17" i="1" s="1"/>
  <c r="J16" i="1"/>
  <c r="H16" i="1"/>
  <c r="G16" i="1"/>
  <c r="F16" i="1"/>
  <c r="I16" i="1" s="1"/>
  <c r="J15" i="1"/>
  <c r="H15" i="1"/>
  <c r="G15" i="1"/>
  <c r="F15" i="1"/>
  <c r="I15" i="1" s="1"/>
  <c r="J14" i="1"/>
  <c r="H14" i="1"/>
  <c r="G14" i="1"/>
  <c r="F14" i="1"/>
  <c r="I14" i="1" s="1"/>
  <c r="J13" i="1"/>
  <c r="H13" i="1"/>
  <c r="G13" i="1"/>
  <c r="F13" i="1"/>
  <c r="I13" i="1" s="1"/>
  <c r="J12" i="1"/>
  <c r="H12" i="1"/>
  <c r="G12" i="1"/>
  <c r="F12" i="1"/>
  <c r="I12" i="1" s="1"/>
  <c r="J11" i="1"/>
  <c r="H11" i="1"/>
  <c r="G11" i="1"/>
  <c r="F11" i="1"/>
  <c r="I11" i="1" s="1"/>
  <c r="J10" i="1"/>
  <c r="H10" i="1"/>
  <c r="G10" i="1"/>
  <c r="F10" i="1"/>
  <c r="I10" i="1" s="1"/>
  <c r="J9" i="1"/>
  <c r="H9" i="1"/>
  <c r="G9" i="1"/>
  <c r="F9" i="1"/>
  <c r="I9" i="1" s="1"/>
  <c r="J8" i="1"/>
  <c r="H8" i="1"/>
  <c r="G8" i="1"/>
  <c r="F8" i="1"/>
  <c r="I8" i="1" s="1"/>
  <c r="J7" i="1"/>
  <c r="H7" i="1"/>
  <c r="G7" i="1"/>
  <c r="F7" i="1"/>
  <c r="I7" i="1" s="1"/>
  <c r="J6" i="1"/>
  <c r="H6" i="1"/>
  <c r="G6" i="1"/>
  <c r="F6" i="1"/>
  <c r="I6" i="1" s="1"/>
  <c r="J5" i="1"/>
  <c r="H5" i="1"/>
  <c r="G5" i="1"/>
  <c r="F5" i="1"/>
  <c r="I5" i="1" s="1"/>
  <c r="J4" i="1"/>
  <c r="H4" i="1"/>
  <c r="G4" i="1"/>
  <c r="F4" i="1"/>
  <c r="I4" i="1" s="1"/>
  <c r="J3" i="1"/>
  <c r="H3" i="1"/>
  <c r="G3" i="1"/>
  <c r="F3" i="1"/>
  <c r="I3" i="1" s="1"/>
  <c r="J2" i="1"/>
  <c r="H2" i="1"/>
  <c r="G2" i="1"/>
  <c r="F2" i="1"/>
  <c r="I2" i="1" s="1"/>
  <c r="K4" i="1" l="1"/>
  <c r="M4" i="1" s="1"/>
  <c r="N4" i="1" s="1"/>
  <c r="K7" i="1"/>
  <c r="K10" i="1"/>
  <c r="K13" i="1"/>
  <c r="M13" i="1" s="1"/>
  <c r="N13" i="1" s="1"/>
  <c r="K15" i="1"/>
  <c r="K19" i="1"/>
  <c r="M19" i="1" s="1"/>
  <c r="N19" i="1" s="1"/>
  <c r="K22" i="1"/>
  <c r="K24" i="1"/>
  <c r="K27" i="1"/>
  <c r="K30" i="1"/>
  <c r="K32" i="1"/>
  <c r="M32" i="1" s="1"/>
  <c r="N32" i="1" s="1"/>
  <c r="K34" i="1"/>
  <c r="K40" i="1"/>
  <c r="M40" i="1" s="1"/>
  <c r="N40" i="1" s="1"/>
  <c r="M22" i="1"/>
  <c r="N22" i="1" s="1"/>
  <c r="M24" i="1"/>
  <c r="N24" i="1" s="1"/>
  <c r="M27" i="1"/>
  <c r="N27" i="1" s="1"/>
  <c r="M30" i="1"/>
  <c r="N30" i="1" s="1"/>
  <c r="M34" i="1"/>
  <c r="N34" i="1" s="1"/>
  <c r="M10" i="1"/>
  <c r="N10" i="1" s="1"/>
  <c r="M21" i="1"/>
  <c r="K3" i="1"/>
  <c r="K6" i="1"/>
  <c r="M6" i="1" s="1"/>
  <c r="N6" i="1" s="1"/>
  <c r="K9" i="1"/>
  <c r="M9" i="1" s="1"/>
  <c r="N9" i="1" s="1"/>
  <c r="K12" i="1"/>
  <c r="M12" i="1" s="1"/>
  <c r="N12" i="1" s="1"/>
  <c r="K14" i="1"/>
  <c r="M14" i="1" s="1"/>
  <c r="N14" i="1" s="1"/>
  <c r="K17" i="1"/>
  <c r="M17" i="1" s="1"/>
  <c r="N17" i="1" s="1"/>
  <c r="K18" i="1"/>
  <c r="M18" i="1" s="1"/>
  <c r="N18" i="1" s="1"/>
  <c r="N21" i="1"/>
  <c r="K21" i="1"/>
  <c r="K25" i="1"/>
  <c r="M25" i="1" s="1"/>
  <c r="N25" i="1" s="1"/>
  <c r="K26" i="1"/>
  <c r="M26" i="1" s="1"/>
  <c r="N26" i="1" s="1"/>
  <c r="K29" i="1"/>
  <c r="M29" i="1" s="1"/>
  <c r="N29" i="1" s="1"/>
  <c r="K31" i="1"/>
  <c r="M31" i="1" s="1"/>
  <c r="N31" i="1" s="1"/>
  <c r="K33" i="1"/>
  <c r="M33" i="1" s="1"/>
  <c r="N33" i="1" s="1"/>
  <c r="K35" i="1"/>
  <c r="M35" i="1" s="1"/>
  <c r="N35" i="1" s="1"/>
  <c r="K36" i="1"/>
  <c r="M36" i="1" s="1"/>
  <c r="N36" i="1" s="1"/>
  <c r="K37" i="1"/>
  <c r="M37" i="1" s="1"/>
  <c r="N37" i="1" s="1"/>
  <c r="K39" i="1"/>
  <c r="M39" i="1" s="1"/>
  <c r="N39" i="1" s="1"/>
  <c r="K41" i="1"/>
  <c r="M41" i="1" s="1"/>
  <c r="N41" i="1" s="1"/>
  <c r="K42" i="1"/>
  <c r="M42" i="1" s="1"/>
  <c r="N42" i="1" s="1"/>
  <c r="K43" i="1"/>
  <c r="M43" i="1" s="1"/>
  <c r="N43" i="1" s="1"/>
  <c r="K44" i="1"/>
  <c r="M44" i="1" s="1"/>
  <c r="N44" i="1" s="1"/>
  <c r="K45" i="1"/>
  <c r="M45" i="1" s="1"/>
  <c r="N45" i="1" s="1"/>
  <c r="K46" i="1"/>
  <c r="M46" i="1" s="1"/>
  <c r="N46" i="1" s="1"/>
  <c r="K47" i="1"/>
  <c r="M47" i="1" s="1"/>
  <c r="N47" i="1" s="1"/>
  <c r="K48" i="1"/>
  <c r="M48" i="1" s="1"/>
  <c r="N48" i="1" s="1"/>
  <c r="K49" i="1"/>
  <c r="M49" i="1" s="1"/>
  <c r="N49" i="1" s="1"/>
  <c r="K50" i="1"/>
  <c r="M50" i="1" s="1"/>
  <c r="N50" i="1" s="1"/>
  <c r="K51" i="1"/>
  <c r="M51" i="1" s="1"/>
  <c r="N51" i="1" s="1"/>
  <c r="K52" i="1"/>
  <c r="M52" i="1" s="1"/>
  <c r="N52" i="1" s="1"/>
  <c r="K53" i="1"/>
  <c r="M53" i="1" s="1"/>
  <c r="N53" i="1" s="1"/>
  <c r="K54" i="1"/>
  <c r="M54" i="1" s="1"/>
  <c r="N54" i="1" s="1"/>
  <c r="K55" i="1"/>
  <c r="M55" i="1" s="1"/>
  <c r="N55" i="1" s="1"/>
  <c r="K56" i="1"/>
  <c r="M56" i="1" s="1"/>
  <c r="N56" i="1" s="1"/>
  <c r="K57" i="1"/>
  <c r="M57" i="1" s="1"/>
  <c r="N57" i="1" s="1"/>
  <c r="K58" i="1"/>
  <c r="M58" i="1" s="1"/>
  <c r="N58" i="1" s="1"/>
  <c r="K59" i="1"/>
  <c r="M59" i="1" s="1"/>
  <c r="N59" i="1" s="1"/>
  <c r="M3" i="1"/>
  <c r="N3" i="1" s="1"/>
  <c r="M7" i="1"/>
  <c r="N7" i="1" s="1"/>
  <c r="M15" i="1"/>
  <c r="N15" i="1" s="1"/>
  <c r="K2" i="1"/>
  <c r="M2" i="1" s="1"/>
  <c r="N2" i="1" s="1"/>
  <c r="K5" i="1"/>
  <c r="M5" i="1" s="1"/>
  <c r="N5" i="1" s="1"/>
  <c r="K8" i="1"/>
  <c r="M8" i="1" s="1"/>
  <c r="N8" i="1" s="1"/>
  <c r="K11" i="1"/>
  <c r="M11" i="1" s="1"/>
  <c r="N11" i="1" s="1"/>
  <c r="K16" i="1"/>
  <c r="M16" i="1" s="1"/>
  <c r="N16" i="1" s="1"/>
  <c r="K20" i="1"/>
  <c r="M20" i="1" s="1"/>
  <c r="N20" i="1" s="1"/>
  <c r="K23" i="1"/>
  <c r="M23" i="1" s="1"/>
  <c r="N23" i="1" s="1"/>
  <c r="K28" i="1"/>
  <c r="M28" i="1" s="1"/>
  <c r="N28" i="1" s="1"/>
  <c r="K38" i="1"/>
  <c r="M38" i="1" s="1"/>
  <c r="N38" i="1" s="1"/>
  <c r="I60" i="1"/>
  <c r="I62" i="1"/>
  <c r="I64" i="1"/>
  <c r="I66" i="1"/>
  <c r="I68" i="1"/>
  <c r="I70" i="1"/>
  <c r="I72" i="1"/>
  <c r="K61" i="1"/>
  <c r="M61" i="1" s="1"/>
  <c r="N61" i="1" s="1"/>
  <c r="K63" i="1"/>
  <c r="M63" i="1" s="1"/>
  <c r="N63" i="1" s="1"/>
  <c r="K65" i="1"/>
  <c r="M65" i="1" s="1"/>
  <c r="N65" i="1" s="1"/>
  <c r="K67" i="1"/>
  <c r="M67" i="1" s="1"/>
  <c r="N67" i="1" s="1"/>
  <c r="K69" i="1"/>
  <c r="M69" i="1" s="1"/>
  <c r="N69" i="1" s="1"/>
  <c r="K71" i="1"/>
  <c r="M71" i="1" s="1"/>
  <c r="N71" i="1" s="1"/>
  <c r="K73" i="1"/>
  <c r="M73" i="1" s="1"/>
  <c r="N73" i="1" s="1"/>
  <c r="K74" i="1"/>
  <c r="M74" i="1" s="1"/>
  <c r="N74" i="1" s="1"/>
  <c r="K75" i="1"/>
  <c r="M75" i="1" s="1"/>
  <c r="N75" i="1" s="1"/>
  <c r="K76" i="1"/>
  <c r="M76" i="1" s="1"/>
  <c r="N76" i="1" s="1"/>
  <c r="K77" i="1"/>
  <c r="M77" i="1" s="1"/>
  <c r="N77" i="1" s="1"/>
  <c r="K78" i="1"/>
  <c r="M78" i="1" s="1"/>
  <c r="N78" i="1" s="1"/>
  <c r="K79" i="1"/>
  <c r="M79" i="1" s="1"/>
  <c r="N79" i="1" s="1"/>
  <c r="K80" i="1"/>
  <c r="M80" i="1" s="1"/>
  <c r="N80" i="1" s="1"/>
  <c r="K81" i="1"/>
  <c r="M81" i="1" s="1"/>
  <c r="N81" i="1" s="1"/>
  <c r="K82" i="1"/>
  <c r="M82" i="1" s="1"/>
  <c r="N82" i="1" s="1"/>
  <c r="K83" i="1"/>
  <c r="M83" i="1" s="1"/>
  <c r="N83" i="1" s="1"/>
  <c r="K84" i="1"/>
  <c r="M84" i="1" s="1"/>
  <c r="N84" i="1" s="1"/>
  <c r="K85" i="1"/>
  <c r="M85" i="1" s="1"/>
  <c r="N85" i="1" s="1"/>
  <c r="K86" i="1"/>
  <c r="M86" i="1" s="1"/>
  <c r="N86" i="1" s="1"/>
  <c r="K87" i="1"/>
  <c r="M87" i="1" s="1"/>
  <c r="N87" i="1" s="1"/>
  <c r="K88" i="1"/>
  <c r="M88" i="1" s="1"/>
  <c r="N88" i="1" s="1"/>
  <c r="K89" i="1"/>
  <c r="M89" i="1" s="1"/>
  <c r="N89" i="1" s="1"/>
  <c r="K90" i="1"/>
  <c r="M90" i="1" s="1"/>
  <c r="N90" i="1" s="1"/>
  <c r="K91" i="1"/>
  <c r="M91" i="1" s="1"/>
  <c r="N91" i="1" s="1"/>
  <c r="K92" i="1"/>
  <c r="M92" i="1" s="1"/>
  <c r="N92" i="1" s="1"/>
  <c r="K93" i="1"/>
  <c r="M93" i="1" s="1"/>
  <c r="N93" i="1" s="1"/>
  <c r="K94" i="1"/>
  <c r="M94" i="1" s="1"/>
  <c r="N94" i="1" s="1"/>
  <c r="K95" i="1"/>
  <c r="M95" i="1" s="1"/>
  <c r="N95" i="1" s="1"/>
  <c r="K96" i="1"/>
  <c r="M96" i="1" s="1"/>
  <c r="N96" i="1" s="1"/>
  <c r="K97" i="1"/>
  <c r="M97" i="1" s="1"/>
  <c r="N97" i="1" s="1"/>
  <c r="K98" i="1"/>
  <c r="M98" i="1" s="1"/>
  <c r="N98" i="1" s="1"/>
  <c r="K99" i="1"/>
  <c r="M99" i="1" s="1"/>
  <c r="N99" i="1" s="1"/>
  <c r="K100" i="1"/>
  <c r="M100" i="1" s="1"/>
  <c r="N100" i="1" s="1"/>
  <c r="K101" i="1"/>
  <c r="M101" i="1" s="1"/>
  <c r="N101" i="1" s="1"/>
  <c r="K102" i="1"/>
  <c r="M102" i="1" s="1"/>
  <c r="N102" i="1" s="1"/>
  <c r="K103" i="1"/>
  <c r="M103" i="1" s="1"/>
  <c r="N103" i="1" s="1"/>
  <c r="K104" i="1"/>
  <c r="M104" i="1" s="1"/>
  <c r="N104" i="1" s="1"/>
  <c r="K105" i="1"/>
  <c r="M105" i="1" s="1"/>
  <c r="N105" i="1" s="1"/>
  <c r="K106" i="1"/>
  <c r="M106" i="1" s="1"/>
  <c r="N106" i="1" s="1"/>
  <c r="K107" i="1"/>
  <c r="M107" i="1" s="1"/>
  <c r="N107" i="1" s="1"/>
  <c r="K108" i="1"/>
  <c r="M108" i="1" s="1"/>
  <c r="N108" i="1" s="1"/>
  <c r="K109" i="1"/>
  <c r="M109" i="1" s="1"/>
  <c r="N109" i="1" s="1"/>
  <c r="K110" i="1"/>
  <c r="M110" i="1" s="1"/>
  <c r="N110" i="1" s="1"/>
  <c r="K111" i="1"/>
  <c r="M111" i="1" s="1"/>
  <c r="N111" i="1" s="1"/>
  <c r="K112" i="1"/>
  <c r="M112" i="1" s="1"/>
  <c r="N112" i="1" s="1"/>
  <c r="K113" i="1"/>
  <c r="M113" i="1" s="1"/>
  <c r="N113" i="1" s="1"/>
  <c r="K114" i="1"/>
  <c r="M114" i="1" s="1"/>
  <c r="N114" i="1" s="1"/>
  <c r="K115" i="1"/>
  <c r="M115" i="1" s="1"/>
  <c r="N115" i="1" s="1"/>
  <c r="K116" i="1"/>
  <c r="M116" i="1" s="1"/>
  <c r="N116" i="1" s="1"/>
  <c r="K117" i="1"/>
  <c r="M117" i="1" s="1"/>
  <c r="N117" i="1" s="1"/>
  <c r="K118" i="1"/>
  <c r="M118" i="1" s="1"/>
  <c r="N118" i="1" s="1"/>
  <c r="K119" i="1"/>
  <c r="M119" i="1" s="1"/>
  <c r="N119" i="1" s="1"/>
  <c r="K120" i="1"/>
  <c r="M120" i="1" s="1"/>
  <c r="N120" i="1" s="1"/>
  <c r="K121" i="1"/>
  <c r="M125" i="1"/>
  <c r="K127" i="1"/>
  <c r="N128" i="1"/>
  <c r="K128" i="1"/>
  <c r="K129" i="1"/>
  <c r="N130" i="1"/>
  <c r="K130" i="1"/>
  <c r="K131" i="1"/>
  <c r="N132" i="1"/>
  <c r="K132" i="1"/>
  <c r="K133" i="1"/>
  <c r="N134" i="1"/>
  <c r="K134" i="1"/>
  <c r="K135" i="1"/>
  <c r="N136" i="1"/>
  <c r="K136" i="1"/>
  <c r="K137" i="1"/>
  <c r="N138" i="1"/>
  <c r="K138" i="1"/>
  <c r="K139" i="1"/>
  <c r="M126" i="1"/>
  <c r="N126" i="1" s="1"/>
  <c r="I122" i="1"/>
  <c r="N125" i="1"/>
  <c r="M127" i="1"/>
  <c r="N127" i="1" s="1"/>
  <c r="M128" i="1"/>
  <c r="M129" i="1"/>
  <c r="N129" i="1" s="1"/>
  <c r="M130" i="1"/>
  <c r="M131" i="1"/>
  <c r="N131" i="1" s="1"/>
  <c r="M132" i="1"/>
  <c r="M133" i="1"/>
  <c r="N133" i="1" s="1"/>
  <c r="M134" i="1"/>
  <c r="M135" i="1"/>
  <c r="N135" i="1" s="1"/>
  <c r="M136" i="1"/>
  <c r="M137" i="1"/>
  <c r="N137" i="1" s="1"/>
  <c r="M138" i="1"/>
  <c r="M139" i="1"/>
  <c r="N139" i="1" s="1"/>
  <c r="M141" i="1"/>
  <c r="M143" i="1"/>
  <c r="M145" i="1"/>
  <c r="M147" i="1"/>
  <c r="M149" i="1"/>
  <c r="M151" i="1"/>
  <c r="M153" i="1"/>
  <c r="M155" i="1"/>
  <c r="M121" i="1"/>
  <c r="N121" i="1" s="1"/>
  <c r="I123" i="1"/>
  <c r="M124" i="1"/>
  <c r="N124" i="1" s="1"/>
  <c r="K140" i="1"/>
  <c r="M140" i="1" s="1"/>
  <c r="N140" i="1" s="1"/>
  <c r="N141" i="1"/>
  <c r="K141" i="1"/>
  <c r="K142" i="1"/>
  <c r="M142" i="1" s="1"/>
  <c r="N142" i="1" s="1"/>
  <c r="N143" i="1"/>
  <c r="K143" i="1"/>
  <c r="K144" i="1"/>
  <c r="M144" i="1" s="1"/>
  <c r="N144" i="1" s="1"/>
  <c r="N145" i="1"/>
  <c r="K145" i="1"/>
  <c r="K146" i="1"/>
  <c r="M146" i="1" s="1"/>
  <c r="N146" i="1" s="1"/>
  <c r="N147" i="1"/>
  <c r="K147" i="1"/>
  <c r="K148" i="1"/>
  <c r="M148" i="1" s="1"/>
  <c r="N148" i="1" s="1"/>
  <c r="N149" i="1"/>
  <c r="K149" i="1"/>
  <c r="K150" i="1"/>
  <c r="M150" i="1" s="1"/>
  <c r="N150" i="1" s="1"/>
  <c r="N151" i="1"/>
  <c r="K151" i="1"/>
  <c r="K152" i="1"/>
  <c r="M152" i="1" s="1"/>
  <c r="N152" i="1" s="1"/>
  <c r="N153" i="1"/>
  <c r="K153" i="1"/>
  <c r="K154" i="1"/>
  <c r="M154" i="1" s="1"/>
  <c r="N154" i="1" s="1"/>
  <c r="N155" i="1"/>
  <c r="K155" i="1"/>
  <c r="K156" i="1"/>
  <c r="M156" i="1" s="1"/>
  <c r="N156" i="1" s="1"/>
  <c r="K164" i="1"/>
  <c r="M164" i="1" s="1"/>
  <c r="N164" i="1" s="1"/>
  <c r="K168" i="1"/>
  <c r="M168" i="1" s="1"/>
  <c r="N168" i="1" s="1"/>
  <c r="K172" i="1"/>
  <c r="M172" i="1" s="1"/>
  <c r="N172" i="1" s="1"/>
  <c r="K176" i="1"/>
  <c r="M176" i="1" s="1"/>
  <c r="N176" i="1" s="1"/>
  <c r="I158" i="1"/>
  <c r="I160" i="1"/>
  <c r="I162" i="1"/>
  <c r="I165" i="1"/>
  <c r="K169" i="1"/>
  <c r="M169" i="1" s="1"/>
  <c r="N169" i="1" s="1"/>
  <c r="K173" i="1"/>
  <c r="M173" i="1" s="1"/>
  <c r="N173" i="1" s="1"/>
  <c r="K177" i="1"/>
  <c r="M177" i="1" s="1"/>
  <c r="N177" i="1" s="1"/>
  <c r="I166" i="1"/>
  <c r="I170" i="1"/>
  <c r="I174" i="1"/>
  <c r="I178" i="1"/>
  <c r="I157" i="1"/>
  <c r="I159" i="1"/>
  <c r="I161" i="1"/>
  <c r="K163" i="1"/>
  <c r="M163" i="1" s="1"/>
  <c r="N163" i="1"/>
  <c r="K167" i="1"/>
  <c r="M167" i="1" s="1"/>
  <c r="N167" i="1"/>
  <c r="K171" i="1"/>
  <c r="M171" i="1" s="1"/>
  <c r="N171" i="1"/>
  <c r="K175" i="1"/>
  <c r="M175" i="1" s="1"/>
  <c r="N175" i="1"/>
  <c r="I179" i="1"/>
  <c r="I180" i="1"/>
  <c r="I182" i="1"/>
  <c r="I184" i="1"/>
  <c r="I186" i="1"/>
  <c r="I188" i="1"/>
  <c r="I190" i="1"/>
  <c r="I192" i="1"/>
  <c r="I194" i="1"/>
  <c r="I196" i="1"/>
  <c r="I198" i="1"/>
  <c r="I200" i="1"/>
  <c r="I202" i="1"/>
  <c r="I204" i="1"/>
  <c r="M210" i="1"/>
  <c r="M214" i="1"/>
  <c r="M218" i="1"/>
  <c r="M222" i="1"/>
  <c r="M226" i="1"/>
  <c r="M230" i="1"/>
  <c r="M234" i="1"/>
  <c r="K238" i="1"/>
  <c r="M238" i="1" s="1"/>
  <c r="N238" i="1" s="1"/>
  <c r="K246" i="1"/>
  <c r="K254" i="1"/>
  <c r="M254" i="1" s="1"/>
  <c r="N254" i="1" s="1"/>
  <c r="K262" i="1"/>
  <c r="K270" i="1"/>
  <c r="M270" i="1" s="1"/>
  <c r="N270" i="1" s="1"/>
  <c r="N206" i="1"/>
  <c r="K207" i="1"/>
  <c r="N207" i="1"/>
  <c r="N210" i="1"/>
  <c r="K211" i="1"/>
  <c r="M211" i="1" s="1"/>
  <c r="N211" i="1" s="1"/>
  <c r="N214" i="1"/>
  <c r="K215" i="1"/>
  <c r="N215" i="1"/>
  <c r="N218" i="1"/>
  <c r="K219" i="1"/>
  <c r="M219" i="1" s="1"/>
  <c r="N219" i="1" s="1"/>
  <c r="N222" i="1"/>
  <c r="K223" i="1"/>
  <c r="N223" i="1"/>
  <c r="N226" i="1"/>
  <c r="K227" i="1"/>
  <c r="M227" i="1" s="1"/>
  <c r="N227" i="1" s="1"/>
  <c r="N230" i="1"/>
  <c r="K231" i="1"/>
  <c r="N231" i="1"/>
  <c r="N234" i="1"/>
  <c r="K240" i="1"/>
  <c r="M240" i="1" s="1"/>
  <c r="N240" i="1" s="1"/>
  <c r="K248" i="1"/>
  <c r="M248" i="1" s="1"/>
  <c r="N248" i="1" s="1"/>
  <c r="K256" i="1"/>
  <c r="M256" i="1" s="1"/>
  <c r="N256" i="1" s="1"/>
  <c r="K264" i="1"/>
  <c r="M264" i="1" s="1"/>
  <c r="N264" i="1" s="1"/>
  <c r="I181" i="1"/>
  <c r="I183" i="1"/>
  <c r="I185" i="1"/>
  <c r="I187" i="1"/>
  <c r="I189" i="1"/>
  <c r="I191" i="1"/>
  <c r="I193" i="1"/>
  <c r="I195" i="1"/>
  <c r="I197" i="1"/>
  <c r="I199" i="1"/>
  <c r="I201" i="1"/>
  <c r="I203" i="1"/>
  <c r="I205" i="1"/>
  <c r="M207" i="1"/>
  <c r="M208" i="1"/>
  <c r="M212" i="1"/>
  <c r="M216" i="1"/>
  <c r="M220" i="1"/>
  <c r="M224" i="1"/>
  <c r="M228" i="1"/>
  <c r="M232" i="1"/>
  <c r="K242" i="1"/>
  <c r="M242" i="1" s="1"/>
  <c r="N242" i="1" s="1"/>
  <c r="K250" i="1"/>
  <c r="M250" i="1" s="1"/>
  <c r="N250" i="1" s="1"/>
  <c r="K258" i="1"/>
  <c r="M258" i="1" s="1"/>
  <c r="N258" i="1" s="1"/>
  <c r="K266" i="1"/>
  <c r="M266" i="1" s="1"/>
  <c r="N266" i="1" s="1"/>
  <c r="N208" i="1"/>
  <c r="K209" i="1"/>
  <c r="N212" i="1"/>
  <c r="K213" i="1"/>
  <c r="N216" i="1"/>
  <c r="K217" i="1"/>
  <c r="N220" i="1"/>
  <c r="K221" i="1"/>
  <c r="N224" i="1"/>
  <c r="K225" i="1"/>
  <c r="N228" i="1"/>
  <c r="K229" i="1"/>
  <c r="N232" i="1"/>
  <c r="K233" i="1"/>
  <c r="K236" i="1"/>
  <c r="M236" i="1" s="1"/>
  <c r="N236" i="1" s="1"/>
  <c r="K244" i="1"/>
  <c r="M244" i="1" s="1"/>
  <c r="N244" i="1" s="1"/>
  <c r="M246" i="1"/>
  <c r="N246" i="1" s="1"/>
  <c r="K252" i="1"/>
  <c r="M252" i="1" s="1"/>
  <c r="N252" i="1" s="1"/>
  <c r="K260" i="1"/>
  <c r="M260" i="1" s="1"/>
  <c r="N260" i="1" s="1"/>
  <c r="M262" i="1"/>
  <c r="N262" i="1" s="1"/>
  <c r="K268" i="1"/>
  <c r="M268" i="1" s="1"/>
  <c r="N268" i="1" s="1"/>
  <c r="M209" i="1"/>
  <c r="N209" i="1" s="1"/>
  <c r="M213" i="1"/>
  <c r="N213" i="1" s="1"/>
  <c r="M215" i="1"/>
  <c r="M217" i="1"/>
  <c r="N217" i="1" s="1"/>
  <c r="M221" i="1"/>
  <c r="N221" i="1" s="1"/>
  <c r="M223" i="1"/>
  <c r="M225" i="1"/>
  <c r="N225" i="1" s="1"/>
  <c r="M229" i="1"/>
  <c r="N229" i="1" s="1"/>
  <c r="M231" i="1"/>
  <c r="M233" i="1"/>
  <c r="N233" i="1" s="1"/>
  <c r="M235" i="1"/>
  <c r="M237" i="1"/>
  <c r="N237" i="1" s="1"/>
  <c r="M239" i="1"/>
  <c r="M241" i="1"/>
  <c r="N241" i="1" s="1"/>
  <c r="M243" i="1"/>
  <c r="M245" i="1"/>
  <c r="N245" i="1" s="1"/>
  <c r="M247" i="1"/>
  <c r="M249" i="1"/>
  <c r="N249" i="1" s="1"/>
  <c r="M251" i="1"/>
  <c r="M253" i="1"/>
  <c r="N253" i="1" s="1"/>
  <c r="M255" i="1"/>
  <c r="M257" i="1"/>
  <c r="N257" i="1" s="1"/>
  <c r="M259" i="1"/>
  <c r="M261" i="1"/>
  <c r="N261" i="1" s="1"/>
  <c r="M263" i="1"/>
  <c r="M265" i="1"/>
  <c r="N265" i="1" s="1"/>
  <c r="M267" i="1"/>
  <c r="M269" i="1"/>
  <c r="N269" i="1" s="1"/>
  <c r="M271" i="1"/>
  <c r="N235" i="1"/>
  <c r="N239" i="1"/>
  <c r="N243" i="1"/>
  <c r="N247" i="1"/>
  <c r="N251" i="1"/>
  <c r="N255" i="1"/>
  <c r="N259" i="1"/>
  <c r="N263" i="1"/>
  <c r="N267" i="1"/>
  <c r="N271" i="1"/>
  <c r="N273" i="1"/>
  <c r="N275" i="1"/>
  <c r="N277" i="1"/>
  <c r="N279" i="1"/>
  <c r="N281" i="1"/>
  <c r="N283" i="1"/>
  <c r="N285" i="1"/>
  <c r="N287" i="1"/>
  <c r="N289" i="1"/>
  <c r="K201" i="1" l="1"/>
  <c r="M201" i="1" s="1"/>
  <c r="N201" i="1" s="1"/>
  <c r="K193" i="1"/>
  <c r="M193" i="1" s="1"/>
  <c r="N193" i="1" s="1"/>
  <c r="K185" i="1"/>
  <c r="M185" i="1" s="1"/>
  <c r="N185" i="1" s="1"/>
  <c r="K200" i="1"/>
  <c r="M200" i="1" s="1"/>
  <c r="N200" i="1" s="1"/>
  <c r="K192" i="1"/>
  <c r="M192" i="1" s="1"/>
  <c r="N192" i="1" s="1"/>
  <c r="K184" i="1"/>
  <c r="M184" i="1" s="1"/>
  <c r="N184" i="1" s="1"/>
  <c r="K161" i="1"/>
  <c r="M161" i="1" s="1"/>
  <c r="N161" i="1" s="1"/>
  <c r="K174" i="1"/>
  <c r="M174" i="1" s="1"/>
  <c r="N174" i="1"/>
  <c r="K158" i="1"/>
  <c r="M158" i="1" s="1"/>
  <c r="N158" i="1" s="1"/>
  <c r="K72" i="1"/>
  <c r="M72" i="1" s="1"/>
  <c r="N72" i="1" s="1"/>
  <c r="K64" i="1"/>
  <c r="M64" i="1" s="1"/>
  <c r="N64" i="1" s="1"/>
  <c r="K199" i="1"/>
  <c r="M199" i="1" s="1"/>
  <c r="N199" i="1" s="1"/>
  <c r="K191" i="1"/>
  <c r="M191" i="1" s="1"/>
  <c r="N191" i="1" s="1"/>
  <c r="K183" i="1"/>
  <c r="M183" i="1" s="1"/>
  <c r="N183" i="1" s="1"/>
  <c r="K198" i="1"/>
  <c r="M198" i="1" s="1"/>
  <c r="N198" i="1" s="1"/>
  <c r="K190" i="1"/>
  <c r="M190" i="1" s="1"/>
  <c r="N190" i="1" s="1"/>
  <c r="K182" i="1"/>
  <c r="M182" i="1" s="1"/>
  <c r="N182" i="1" s="1"/>
  <c r="K159" i="1"/>
  <c r="M159" i="1" s="1"/>
  <c r="N159" i="1" s="1"/>
  <c r="K170" i="1"/>
  <c r="M170" i="1" s="1"/>
  <c r="N170" i="1"/>
  <c r="K165" i="1"/>
  <c r="M165" i="1" s="1"/>
  <c r="N165" i="1"/>
  <c r="K123" i="1"/>
  <c r="M123" i="1" s="1"/>
  <c r="N123" i="1" s="1"/>
  <c r="K70" i="1"/>
  <c r="M70" i="1" s="1"/>
  <c r="N70" i="1" s="1"/>
  <c r="K62" i="1"/>
  <c r="M62" i="1" s="1"/>
  <c r="N62" i="1" s="1"/>
  <c r="K205" i="1"/>
  <c r="M205" i="1" s="1"/>
  <c r="N205" i="1"/>
  <c r="K197" i="1"/>
  <c r="M197" i="1" s="1"/>
  <c r="N197" i="1" s="1"/>
  <c r="K189" i="1"/>
  <c r="M189" i="1" s="1"/>
  <c r="N189" i="1" s="1"/>
  <c r="K181" i="1"/>
  <c r="M181" i="1" s="1"/>
  <c r="N181" i="1" s="1"/>
  <c r="K204" i="1"/>
  <c r="M204" i="1" s="1"/>
  <c r="N204" i="1" s="1"/>
  <c r="K196" i="1"/>
  <c r="M196" i="1" s="1"/>
  <c r="N196" i="1" s="1"/>
  <c r="K188" i="1"/>
  <c r="M188" i="1" s="1"/>
  <c r="N188" i="1" s="1"/>
  <c r="K180" i="1"/>
  <c r="M180" i="1" s="1"/>
  <c r="N180" i="1" s="1"/>
  <c r="K157" i="1"/>
  <c r="M157" i="1" s="1"/>
  <c r="N157" i="1" s="1"/>
  <c r="K166" i="1"/>
  <c r="M166" i="1" s="1"/>
  <c r="N166" i="1"/>
  <c r="K162" i="1"/>
  <c r="M162" i="1" s="1"/>
  <c r="N162" i="1" s="1"/>
  <c r="K68" i="1"/>
  <c r="M68" i="1" s="1"/>
  <c r="N68" i="1" s="1"/>
  <c r="K60" i="1"/>
  <c r="M60" i="1" s="1"/>
  <c r="N60" i="1" s="1"/>
  <c r="K203" i="1"/>
  <c r="M203" i="1" s="1"/>
  <c r="N203" i="1" s="1"/>
  <c r="K195" i="1"/>
  <c r="M195" i="1" s="1"/>
  <c r="N195" i="1" s="1"/>
  <c r="K187" i="1"/>
  <c r="M187" i="1" s="1"/>
  <c r="N187" i="1" s="1"/>
  <c r="K202" i="1"/>
  <c r="M202" i="1" s="1"/>
  <c r="N202" i="1" s="1"/>
  <c r="K194" i="1"/>
  <c r="M194" i="1" s="1"/>
  <c r="N194" i="1" s="1"/>
  <c r="K186" i="1"/>
  <c r="M186" i="1" s="1"/>
  <c r="N186" i="1" s="1"/>
  <c r="K179" i="1"/>
  <c r="M179" i="1" s="1"/>
  <c r="N179" i="1" s="1"/>
  <c r="K178" i="1"/>
  <c r="M178" i="1" s="1"/>
  <c r="N178" i="1"/>
  <c r="K160" i="1"/>
  <c r="M160" i="1" s="1"/>
  <c r="N160" i="1" s="1"/>
  <c r="K122" i="1"/>
  <c r="M122" i="1" s="1"/>
  <c r="N122" i="1" s="1"/>
  <c r="K66" i="1"/>
  <c r="M66" i="1" s="1"/>
  <c r="N66" i="1" s="1"/>
</calcChain>
</file>

<file path=xl/sharedStrings.xml><?xml version="1.0" encoding="utf-8"?>
<sst xmlns="http://schemas.openxmlformats.org/spreadsheetml/2006/main" count="1166" uniqueCount="310">
  <si>
    <t>Emp Id</t>
  </si>
  <si>
    <t>Emp Name</t>
  </si>
  <si>
    <t>Designation</t>
  </si>
  <si>
    <t>City type</t>
  </si>
  <si>
    <t>Basic</t>
  </si>
  <si>
    <t>DA</t>
  </si>
  <si>
    <t>HRA</t>
  </si>
  <si>
    <t>TA</t>
  </si>
  <si>
    <t>Gross salary</t>
  </si>
  <si>
    <t>PF</t>
  </si>
  <si>
    <t>PT</t>
  </si>
  <si>
    <t>Insurance</t>
  </si>
  <si>
    <t>Deduction Total</t>
  </si>
  <si>
    <t>Net Salary</t>
  </si>
  <si>
    <t>E001</t>
  </si>
  <si>
    <t>Naveen</t>
  </si>
  <si>
    <t>Manager</t>
  </si>
  <si>
    <t>A</t>
  </si>
  <si>
    <t>E002</t>
  </si>
  <si>
    <t>Vinay</t>
  </si>
  <si>
    <t>Sales Manager</t>
  </si>
  <si>
    <t>B</t>
  </si>
  <si>
    <t>E003</t>
  </si>
  <si>
    <t>Rajesh</t>
  </si>
  <si>
    <t>Administrator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</si>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</sst>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3" fillId="0" borderId="1" xfId="0" quotePrefix="1" applyFont="1" applyBorder="1" applyAlignment="1">
      <alignment wrapText="1"/>
    </xf>
    <xf numFmtId="1" fontId="0" fillId="0" borderId="1" xfId="0" quotePrefix="1" applyNumberFormat="1" applyBorder="1" applyAlignment="1">
      <alignment wrapText="1"/>
    </xf>
    <xf numFmtId="0" fontId="0" fillId="0" borderId="1" xfId="0" applyBorder="1" applyAlignment="1">
      <alignment wrapText="1"/>
    </xf>
    <xf numFmtId="1" fontId="1" fillId="0" borderId="1" xfId="0" quotePrefix="1" applyNumberFormat="1" applyFont="1" applyBorder="1" applyAlignment="1">
      <alignment wrapText="1"/>
    </xf>
    <xf numFmtId="2" fontId="0" fillId="0" borderId="1" xfId="0" quotePrefix="1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Technical%20training/Titon%20Valves/demo%2014-09-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calculation"/>
      <sheetName val="Conditional formatting"/>
      <sheetName val="Simple functions"/>
      <sheetName val="Sorting"/>
      <sheetName val="Filtering"/>
      <sheetName val="Round function"/>
      <sheetName val="Absolute reference"/>
      <sheetName val="Simple if"/>
      <sheetName val="Salary statement"/>
      <sheetName val="printing in excel"/>
      <sheetName val="text data"/>
      <sheetName val="sumif"/>
      <sheetName val="Data validation"/>
      <sheetName val="Advance filter"/>
      <sheetName val="Sales chart"/>
      <sheetName val="Sales data"/>
      <sheetName val="Pie chart"/>
      <sheetName val="piechart 2"/>
      <sheetName val="Pie chart data"/>
      <sheetName val="Goal seek"/>
      <sheetName val="Scenario Summary"/>
      <sheetName val="Scenarios"/>
      <sheetName val="Date"/>
      <sheetName val="Subtotal"/>
      <sheetName val="Lookup"/>
      <sheetName val="hlookup"/>
      <sheetName val="VLookup"/>
      <sheetName val="Sheet1"/>
      <sheetName val="Sheet2"/>
      <sheetName val="Pivot table"/>
      <sheetName val="Pivot data"/>
      <sheetName val="Spark lines"/>
      <sheetName val="index match"/>
      <sheetName val="Sheet34"/>
      <sheetName val="Sheet36"/>
      <sheetName val="Sheet37"/>
      <sheetName val="prin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7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11" sqref="I11"/>
    </sheetView>
  </sheetViews>
  <sheetFormatPr defaultRowHeight="15" x14ac:dyDescent="0.25"/>
  <cols>
    <col min="1" max="1" width="7.140625" customWidth="1"/>
    <col min="2" max="2" width="10.42578125" customWidth="1"/>
    <col min="3" max="3" width="19.28515625" bestFit="1" customWidth="1"/>
    <col min="4" max="4" width="5.7109375" customWidth="1"/>
    <col min="5" max="5" width="8.42578125" customWidth="1"/>
    <col min="6" max="6" width="7.7109375" customWidth="1"/>
    <col min="7" max="7" width="8.140625" customWidth="1"/>
    <col min="8" max="8" width="10.5703125" customWidth="1"/>
    <col min="9" max="9" width="10.7109375" customWidth="1"/>
    <col min="10" max="10" width="10.42578125" customWidth="1"/>
    <col min="11" max="11" width="8.28515625" customWidth="1"/>
    <col min="12" max="12" width="8" customWidth="1"/>
    <col min="13" max="13" width="10.28515625" customWidth="1"/>
    <col min="14" max="14" width="12.4257812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4" t="s">
        <v>15</v>
      </c>
      <c r="C2" s="4" t="s">
        <v>16</v>
      </c>
      <c r="D2" s="3" t="s">
        <v>17</v>
      </c>
      <c r="E2" s="4">
        <v>18050</v>
      </c>
      <c r="F2" s="5">
        <f>E2*52%</f>
        <v>9386</v>
      </c>
      <c r="G2" s="6">
        <f>IF(D2="A",E2*25%,IF(D2="B",E2*15%,E2*10%))</f>
        <v>4512.5</v>
      </c>
      <c r="H2" s="5">
        <f>E2*8%</f>
        <v>1444</v>
      </c>
      <c r="I2" s="7">
        <f>SUM(E2:H2)</f>
        <v>33392.5</v>
      </c>
      <c r="J2" s="8">
        <f>E2*12.5%</f>
        <v>2256.25</v>
      </c>
      <c r="K2" s="5">
        <f>IF(I2&lt;=10000,100,IF(AND(I2&gt;10000,I2&lt;20000),200,300))</f>
        <v>300</v>
      </c>
      <c r="L2" s="9">
        <v>500</v>
      </c>
      <c r="M2" s="10">
        <f>SUM(J2:L2)</f>
        <v>3056.25</v>
      </c>
      <c r="N2" s="11">
        <f>I2-M2</f>
        <v>30336.25</v>
      </c>
    </row>
    <row r="3" spans="1:14" x14ac:dyDescent="0.25">
      <c r="A3" s="3" t="s">
        <v>18</v>
      </c>
      <c r="B3" s="4" t="s">
        <v>19</v>
      </c>
      <c r="C3" s="4" t="s">
        <v>20</v>
      </c>
      <c r="D3" s="3" t="s">
        <v>21</v>
      </c>
      <c r="E3" s="4">
        <v>3500</v>
      </c>
      <c r="F3" s="5">
        <f t="shared" ref="F3:F4" si="0">E3*52%</f>
        <v>1820</v>
      </c>
      <c r="G3" s="6">
        <f t="shared" ref="G3:G4" si="1">IF(D3="A",E3*25%,IF(D3="B",E3*15%,E3*10%))</f>
        <v>525</v>
      </c>
      <c r="H3" s="5">
        <f t="shared" ref="H3:H4" si="2">E3*8%</f>
        <v>280</v>
      </c>
      <c r="I3" s="7">
        <f t="shared" ref="I3:I4" si="3">SUM(E3:H3)</f>
        <v>6125</v>
      </c>
      <c r="J3" s="8">
        <f t="shared" ref="J3:J4" si="4">E3*12.5%</f>
        <v>437.5</v>
      </c>
      <c r="K3" s="5">
        <f t="shared" ref="K3:K4" si="5">IF(I3&lt;=10000,100,IF(AND(I3&gt;10000,I3&lt;20000),200,300))</f>
        <v>100</v>
      </c>
      <c r="L3" s="4">
        <v>200</v>
      </c>
      <c r="M3" s="10">
        <f t="shared" ref="M3:M4" si="6">SUM(J3:L3)</f>
        <v>737.5</v>
      </c>
      <c r="N3" s="11">
        <f t="shared" ref="N3:N4" si="7">I3-M3</f>
        <v>5387.5</v>
      </c>
    </row>
    <row r="4" spans="1:14" x14ac:dyDescent="0.25">
      <c r="A4" s="3" t="s">
        <v>22</v>
      </c>
      <c r="B4" s="4" t="s">
        <v>23</v>
      </c>
      <c r="C4" s="4" t="s">
        <v>24</v>
      </c>
      <c r="D4" s="3" t="s">
        <v>17</v>
      </c>
      <c r="E4" s="4">
        <v>7500</v>
      </c>
      <c r="F4" s="5">
        <f t="shared" si="0"/>
        <v>3900</v>
      </c>
      <c r="G4" s="6">
        <f t="shared" si="1"/>
        <v>1875</v>
      </c>
      <c r="H4" s="5">
        <f t="shared" si="2"/>
        <v>600</v>
      </c>
      <c r="I4" s="7">
        <f t="shared" si="3"/>
        <v>13875</v>
      </c>
      <c r="J4" s="8">
        <f t="shared" si="4"/>
        <v>937.5</v>
      </c>
      <c r="K4" s="5">
        <f t="shared" si="5"/>
        <v>200</v>
      </c>
      <c r="L4" s="4">
        <v>3500</v>
      </c>
      <c r="M4" s="10">
        <f t="shared" si="6"/>
        <v>4637.5</v>
      </c>
      <c r="N4" s="11">
        <f t="shared" si="7"/>
        <v>9237.5</v>
      </c>
    </row>
    <row r="5" spans="1:14" x14ac:dyDescent="0.25">
      <c r="A5" s="3" t="s">
        <v>25</v>
      </c>
      <c r="B5" s="4" t="s">
        <v>15</v>
      </c>
      <c r="C5" s="4" t="s">
        <v>16</v>
      </c>
      <c r="D5" s="3" t="s">
        <v>17</v>
      </c>
      <c r="E5" s="4">
        <v>18050</v>
      </c>
      <c r="F5" s="5">
        <f>E5*52%</f>
        <v>9386</v>
      </c>
      <c r="G5" s="6">
        <f>IF(D5="A",E5*25%,IF(D5="B",E5*15%,E5*10%))</f>
        <v>4512.5</v>
      </c>
      <c r="H5" s="5">
        <f>E5*8%</f>
        <v>1444</v>
      </c>
      <c r="I5" s="7">
        <f>SUM(E5:H5)</f>
        <v>33392.5</v>
      </c>
      <c r="J5" s="8">
        <f>E5*12.5%</f>
        <v>2256.25</v>
      </c>
      <c r="K5" s="5">
        <f>IF(I5&lt;=10000,100,IF(AND(I5&gt;10000,I5&lt;20000),200,300))</f>
        <v>300</v>
      </c>
      <c r="L5" s="9">
        <v>500</v>
      </c>
      <c r="M5" s="10">
        <f>SUM(J5:L5)</f>
        <v>3056.25</v>
      </c>
      <c r="N5" s="11">
        <f>I5-M5</f>
        <v>30336.25</v>
      </c>
    </row>
    <row r="6" spans="1:14" x14ac:dyDescent="0.25">
      <c r="A6" s="3" t="s">
        <v>26</v>
      </c>
      <c r="B6" s="4" t="s">
        <v>19</v>
      </c>
      <c r="C6" s="4" t="s">
        <v>20</v>
      </c>
      <c r="D6" s="3" t="s">
        <v>21</v>
      </c>
      <c r="E6" s="4">
        <v>3500</v>
      </c>
      <c r="F6" s="5">
        <f t="shared" ref="F6:F7" si="8">E6*52%</f>
        <v>1820</v>
      </c>
      <c r="G6" s="6">
        <f t="shared" ref="G6:G7" si="9">IF(D6="A",E6*25%,IF(D6="B",E6*15%,E6*10%))</f>
        <v>525</v>
      </c>
      <c r="H6" s="5">
        <f t="shared" ref="H6:H7" si="10">E6*8%</f>
        <v>280</v>
      </c>
      <c r="I6" s="7">
        <f t="shared" ref="I6:I7" si="11">SUM(E6:H6)</f>
        <v>6125</v>
      </c>
      <c r="J6" s="8">
        <f t="shared" ref="J6:J7" si="12">E6*12.5%</f>
        <v>437.5</v>
      </c>
      <c r="K6" s="5">
        <f t="shared" ref="K6:K7" si="13">IF(I6&lt;=10000,100,IF(AND(I6&gt;10000,I6&lt;20000),200,300))</f>
        <v>100</v>
      </c>
      <c r="L6" s="4">
        <v>200</v>
      </c>
      <c r="M6" s="10">
        <f t="shared" ref="M6:M7" si="14">SUM(J6:L6)</f>
        <v>737.5</v>
      </c>
      <c r="N6" s="11">
        <f t="shared" ref="N6:N7" si="15">I6-M6</f>
        <v>5387.5</v>
      </c>
    </row>
    <row r="7" spans="1:14" x14ac:dyDescent="0.25">
      <c r="A7" s="3" t="s">
        <v>27</v>
      </c>
      <c r="B7" s="4" t="s">
        <v>23</v>
      </c>
      <c r="C7" s="4" t="s">
        <v>24</v>
      </c>
      <c r="D7" s="3" t="s">
        <v>17</v>
      </c>
      <c r="E7" s="4">
        <v>7500</v>
      </c>
      <c r="F7" s="5">
        <f t="shared" si="8"/>
        <v>3900</v>
      </c>
      <c r="G7" s="6">
        <f t="shared" si="9"/>
        <v>1875</v>
      </c>
      <c r="H7" s="5">
        <f t="shared" si="10"/>
        <v>600</v>
      </c>
      <c r="I7" s="7">
        <f t="shared" si="11"/>
        <v>13875</v>
      </c>
      <c r="J7" s="8">
        <f t="shared" si="12"/>
        <v>937.5</v>
      </c>
      <c r="K7" s="5">
        <f t="shared" si="13"/>
        <v>200</v>
      </c>
      <c r="L7" s="4">
        <v>3500</v>
      </c>
      <c r="M7" s="10">
        <f t="shared" si="14"/>
        <v>4637.5</v>
      </c>
      <c r="N7" s="11">
        <f t="shared" si="15"/>
        <v>9237.5</v>
      </c>
    </row>
    <row r="8" spans="1:14" x14ac:dyDescent="0.25">
      <c r="A8" s="3" t="s">
        <v>28</v>
      </c>
      <c r="B8" s="4" t="s">
        <v>15</v>
      </c>
      <c r="C8" s="4" t="s">
        <v>16</v>
      </c>
      <c r="D8" s="3" t="s">
        <v>17</v>
      </c>
      <c r="E8" s="4">
        <v>18050</v>
      </c>
      <c r="F8" s="5">
        <f>E8*52%</f>
        <v>9386</v>
      </c>
      <c r="G8" s="6">
        <f>IF(D8="A",E8*25%,IF(D8="B",E8*15%,E8*10%))</f>
        <v>4512.5</v>
      </c>
      <c r="H8" s="5">
        <f>E8*8%</f>
        <v>1444</v>
      </c>
      <c r="I8" s="7">
        <f>SUM(E8:H8)</f>
        <v>33392.5</v>
      </c>
      <c r="J8" s="8">
        <f>E8*12.5%</f>
        <v>2256.25</v>
      </c>
      <c r="K8" s="5">
        <f>IF(I8&lt;=10000,100,IF(AND(I8&gt;10000,I8&lt;20000),200,300))</f>
        <v>300</v>
      </c>
      <c r="L8" s="9">
        <v>500</v>
      </c>
      <c r="M8" s="10">
        <f>SUM(J8:L8)</f>
        <v>3056.25</v>
      </c>
      <c r="N8" s="11">
        <f>I8-M8</f>
        <v>30336.25</v>
      </c>
    </row>
    <row r="9" spans="1:14" x14ac:dyDescent="0.25">
      <c r="A9" s="3" t="s">
        <v>29</v>
      </c>
      <c r="B9" s="4" t="s">
        <v>19</v>
      </c>
      <c r="C9" s="4" t="s">
        <v>20</v>
      </c>
      <c r="D9" s="3" t="s">
        <v>21</v>
      </c>
      <c r="E9" s="4">
        <v>3500</v>
      </c>
      <c r="F9" s="5">
        <f t="shared" ref="F9:F10" si="16">E9*52%</f>
        <v>1820</v>
      </c>
      <c r="G9" s="6">
        <f t="shared" ref="G9:G10" si="17">IF(D9="A",E9*25%,IF(D9="B",E9*15%,E9*10%))</f>
        <v>525</v>
      </c>
      <c r="H9" s="5">
        <f t="shared" ref="H9:H10" si="18">E9*8%</f>
        <v>280</v>
      </c>
      <c r="I9" s="7">
        <f t="shared" ref="I9:I10" si="19">SUM(E9:H9)</f>
        <v>6125</v>
      </c>
      <c r="J9" s="8">
        <f t="shared" ref="J9:J10" si="20">E9*12.5%</f>
        <v>437.5</v>
      </c>
      <c r="K9" s="5">
        <f t="shared" ref="K9:K10" si="21">IF(I9&lt;=10000,100,IF(AND(I9&gt;10000,I9&lt;20000),200,300))</f>
        <v>100</v>
      </c>
      <c r="L9" s="4">
        <v>200</v>
      </c>
      <c r="M9" s="10">
        <f t="shared" ref="M9:M10" si="22">SUM(J9:L9)</f>
        <v>737.5</v>
      </c>
      <c r="N9" s="11">
        <f t="shared" ref="N9:N10" si="23">I9-M9</f>
        <v>5387.5</v>
      </c>
    </row>
    <row r="10" spans="1:14" x14ac:dyDescent="0.25">
      <c r="A10" s="3" t="s">
        <v>30</v>
      </c>
      <c r="B10" s="4" t="s">
        <v>23</v>
      </c>
      <c r="C10" s="4" t="s">
        <v>24</v>
      </c>
      <c r="D10" s="3" t="s">
        <v>17</v>
      </c>
      <c r="E10" s="4">
        <v>7500</v>
      </c>
      <c r="F10" s="5">
        <f t="shared" si="16"/>
        <v>3900</v>
      </c>
      <c r="G10" s="6">
        <f t="shared" si="17"/>
        <v>1875</v>
      </c>
      <c r="H10" s="5">
        <f t="shared" si="18"/>
        <v>600</v>
      </c>
      <c r="I10" s="7">
        <f t="shared" si="19"/>
        <v>13875</v>
      </c>
      <c r="J10" s="8">
        <f t="shared" si="20"/>
        <v>937.5</v>
      </c>
      <c r="K10" s="5">
        <f t="shared" si="21"/>
        <v>200</v>
      </c>
      <c r="L10" s="4">
        <v>3500</v>
      </c>
      <c r="M10" s="10">
        <f t="shared" si="22"/>
        <v>4637.5</v>
      </c>
      <c r="N10" s="11">
        <f t="shared" si="23"/>
        <v>9237.5</v>
      </c>
    </row>
    <row r="11" spans="1:14" x14ac:dyDescent="0.25">
      <c r="A11" s="3" t="s">
        <v>31</v>
      </c>
      <c r="B11" s="4" t="s">
        <v>15</v>
      </c>
      <c r="C11" s="4" t="s">
        <v>16</v>
      </c>
      <c r="D11" s="3" t="s">
        <v>17</v>
      </c>
      <c r="E11" s="4">
        <v>18050</v>
      </c>
      <c r="F11" s="5">
        <f>E11*52%</f>
        <v>9386</v>
      </c>
      <c r="G11" s="6">
        <f>IF(D11="A",E11*25%,IF(D11="B",E11*15%,E11*10%))</f>
        <v>4512.5</v>
      </c>
      <c r="H11" s="5">
        <f>E11*8%</f>
        <v>1444</v>
      </c>
      <c r="I11" s="7">
        <f>SUM(E11:H11)</f>
        <v>33392.5</v>
      </c>
      <c r="J11" s="8">
        <f>E11*12.5%</f>
        <v>2256.25</v>
      </c>
      <c r="K11" s="5">
        <f>IF(I11&lt;=10000,100,IF(AND(I11&gt;10000,I11&lt;20000),200,300))</f>
        <v>300</v>
      </c>
      <c r="L11" s="9">
        <v>500</v>
      </c>
      <c r="M11" s="10">
        <f>SUM(J11:L11)</f>
        <v>3056.25</v>
      </c>
      <c r="N11" s="11">
        <f>I11-M11</f>
        <v>30336.25</v>
      </c>
    </row>
    <row r="12" spans="1:14" x14ac:dyDescent="0.25">
      <c r="A12" s="3" t="s">
        <v>32</v>
      </c>
      <c r="B12" s="4" t="s">
        <v>19</v>
      </c>
      <c r="C12" s="4" t="s">
        <v>20</v>
      </c>
      <c r="D12" s="3" t="s">
        <v>21</v>
      </c>
      <c r="E12" s="4">
        <v>3500</v>
      </c>
      <c r="F12" s="5">
        <f t="shared" ref="F12:F13" si="24">E12*52%</f>
        <v>1820</v>
      </c>
      <c r="G12" s="6">
        <f t="shared" ref="G12:G13" si="25">IF(D12="A",E12*25%,IF(D12="B",E12*15%,E12*10%))</f>
        <v>525</v>
      </c>
      <c r="H12" s="5">
        <f t="shared" ref="H12:H13" si="26">E12*8%</f>
        <v>280</v>
      </c>
      <c r="I12" s="7">
        <f t="shared" ref="I12:I13" si="27">SUM(E12:H12)</f>
        <v>6125</v>
      </c>
      <c r="J12" s="8">
        <f t="shared" ref="J12:J13" si="28">E12*12.5%</f>
        <v>437.5</v>
      </c>
      <c r="K12" s="5">
        <f t="shared" ref="K12:K13" si="29">IF(I12&lt;=10000,100,IF(AND(I12&gt;10000,I12&lt;20000),200,300))</f>
        <v>100</v>
      </c>
      <c r="L12" s="4">
        <v>200</v>
      </c>
      <c r="M12" s="10">
        <f t="shared" ref="M12:M13" si="30">SUM(J12:L12)</f>
        <v>737.5</v>
      </c>
      <c r="N12" s="11">
        <f t="shared" ref="N12:N13" si="31">I12-M12</f>
        <v>5387.5</v>
      </c>
    </row>
    <row r="13" spans="1:14" x14ac:dyDescent="0.25">
      <c r="A13" s="3" t="s">
        <v>33</v>
      </c>
      <c r="B13" s="4" t="s">
        <v>23</v>
      </c>
      <c r="C13" s="4" t="s">
        <v>24</v>
      </c>
      <c r="D13" s="3" t="s">
        <v>17</v>
      </c>
      <c r="E13" s="4">
        <v>7500</v>
      </c>
      <c r="F13" s="5">
        <f t="shared" si="24"/>
        <v>3900</v>
      </c>
      <c r="G13" s="6">
        <f t="shared" si="25"/>
        <v>1875</v>
      </c>
      <c r="H13" s="5">
        <f t="shared" si="26"/>
        <v>600</v>
      </c>
      <c r="I13" s="7">
        <f t="shared" si="27"/>
        <v>13875</v>
      </c>
      <c r="J13" s="8">
        <f t="shared" si="28"/>
        <v>937.5</v>
      </c>
      <c r="K13" s="5">
        <f t="shared" si="29"/>
        <v>200</v>
      </c>
      <c r="L13" s="4">
        <v>3500</v>
      </c>
      <c r="M13" s="10">
        <f t="shared" si="30"/>
        <v>4637.5</v>
      </c>
      <c r="N13" s="11">
        <f t="shared" si="31"/>
        <v>9237.5</v>
      </c>
    </row>
    <row r="14" spans="1:14" x14ac:dyDescent="0.25">
      <c r="A14" s="3" t="s">
        <v>34</v>
      </c>
      <c r="B14" s="4" t="s">
        <v>15</v>
      </c>
      <c r="C14" s="4" t="s">
        <v>16</v>
      </c>
      <c r="D14" s="3" t="s">
        <v>17</v>
      </c>
      <c r="E14" s="4">
        <v>18050</v>
      </c>
      <c r="F14" s="5">
        <f>E14*52%</f>
        <v>9386</v>
      </c>
      <c r="G14" s="6">
        <f>IF(D14="A",E14*25%,IF(D14="B",E14*15%,E14*10%))</f>
        <v>4512.5</v>
      </c>
      <c r="H14" s="5">
        <f>E14*8%</f>
        <v>1444</v>
      </c>
      <c r="I14" s="7">
        <f>SUM(E14:H14)</f>
        <v>33392.5</v>
      </c>
      <c r="J14" s="8">
        <f>E14*12.5%</f>
        <v>2256.25</v>
      </c>
      <c r="K14" s="5">
        <f>IF(I14&lt;=10000,100,IF(AND(I14&gt;10000,I14&lt;20000),200,300))</f>
        <v>300</v>
      </c>
      <c r="L14" s="9">
        <v>500</v>
      </c>
      <c r="M14" s="10">
        <f>SUM(J14:L14)</f>
        <v>3056.25</v>
      </c>
      <c r="N14" s="11">
        <f>I14-M14</f>
        <v>30336.25</v>
      </c>
    </row>
    <row r="15" spans="1:14" x14ac:dyDescent="0.25">
      <c r="A15" s="3" t="s">
        <v>35</v>
      </c>
      <c r="B15" s="4" t="s">
        <v>19</v>
      </c>
      <c r="C15" s="4" t="s">
        <v>20</v>
      </c>
      <c r="D15" s="3" t="s">
        <v>21</v>
      </c>
      <c r="E15" s="4">
        <v>3500</v>
      </c>
      <c r="F15" s="5">
        <f t="shared" ref="F15:F16" si="32">E15*52%</f>
        <v>1820</v>
      </c>
      <c r="G15" s="6">
        <f t="shared" ref="G15:G16" si="33">IF(D15="A",E15*25%,IF(D15="B",E15*15%,E15*10%))</f>
        <v>525</v>
      </c>
      <c r="H15" s="5">
        <f t="shared" ref="H15:H16" si="34">E15*8%</f>
        <v>280</v>
      </c>
      <c r="I15" s="7">
        <f t="shared" ref="I15:I16" si="35">SUM(E15:H15)</f>
        <v>6125</v>
      </c>
      <c r="J15" s="8">
        <f t="shared" ref="J15:J16" si="36">E15*12.5%</f>
        <v>437.5</v>
      </c>
      <c r="K15" s="5">
        <f t="shared" ref="K15:K16" si="37">IF(I15&lt;=10000,100,IF(AND(I15&gt;10000,I15&lt;20000),200,300))</f>
        <v>100</v>
      </c>
      <c r="L15" s="4">
        <v>200</v>
      </c>
      <c r="M15" s="10">
        <f t="shared" ref="M15:M16" si="38">SUM(J15:L15)</f>
        <v>737.5</v>
      </c>
      <c r="N15" s="11">
        <f t="shared" ref="N15:N16" si="39">I15-M15</f>
        <v>5387.5</v>
      </c>
    </row>
    <row r="16" spans="1:14" x14ac:dyDescent="0.25">
      <c r="A16" s="3" t="s">
        <v>36</v>
      </c>
      <c r="B16" s="4" t="s">
        <v>23</v>
      </c>
      <c r="C16" s="4" t="s">
        <v>24</v>
      </c>
      <c r="D16" s="3" t="s">
        <v>17</v>
      </c>
      <c r="E16" s="4">
        <v>7500</v>
      </c>
      <c r="F16" s="5">
        <f t="shared" si="32"/>
        <v>3900</v>
      </c>
      <c r="G16" s="6">
        <f t="shared" si="33"/>
        <v>1875</v>
      </c>
      <c r="H16" s="5">
        <f t="shared" si="34"/>
        <v>600</v>
      </c>
      <c r="I16" s="7">
        <f t="shared" si="35"/>
        <v>13875</v>
      </c>
      <c r="J16" s="8">
        <f t="shared" si="36"/>
        <v>937.5</v>
      </c>
      <c r="K16" s="5">
        <f t="shared" si="37"/>
        <v>200</v>
      </c>
      <c r="L16" s="4">
        <v>3500</v>
      </c>
      <c r="M16" s="10">
        <f t="shared" si="38"/>
        <v>4637.5</v>
      </c>
      <c r="N16" s="11">
        <f t="shared" si="39"/>
        <v>9237.5</v>
      </c>
    </row>
    <row r="17" spans="1:14" x14ac:dyDescent="0.25">
      <c r="A17" s="3" t="s">
        <v>37</v>
      </c>
      <c r="B17" s="4" t="s">
        <v>15</v>
      </c>
      <c r="C17" s="4" t="s">
        <v>16</v>
      </c>
      <c r="D17" s="3" t="s">
        <v>17</v>
      </c>
      <c r="E17" s="4">
        <v>18050</v>
      </c>
      <c r="F17" s="5">
        <f>E17*52%</f>
        <v>9386</v>
      </c>
      <c r="G17" s="6">
        <f>IF(D17="A",E17*25%,IF(D17="B",E17*15%,E17*10%))</f>
        <v>4512.5</v>
      </c>
      <c r="H17" s="5">
        <f>E17*8%</f>
        <v>1444</v>
      </c>
      <c r="I17" s="7">
        <f>SUM(E17:H17)</f>
        <v>33392.5</v>
      </c>
      <c r="J17" s="8">
        <f>E17*12.5%</f>
        <v>2256.25</v>
      </c>
      <c r="K17" s="5">
        <f>IF(I17&lt;=10000,100,IF(AND(I17&gt;10000,I17&lt;20000),200,300))</f>
        <v>300</v>
      </c>
      <c r="L17" s="9">
        <v>500</v>
      </c>
      <c r="M17" s="10">
        <f>SUM(J17:L17)</f>
        <v>3056.25</v>
      </c>
      <c r="N17" s="11">
        <f>I17-M17</f>
        <v>30336.25</v>
      </c>
    </row>
    <row r="18" spans="1:14" x14ac:dyDescent="0.25">
      <c r="A18" s="3" t="s">
        <v>38</v>
      </c>
      <c r="B18" s="4" t="s">
        <v>19</v>
      </c>
      <c r="C18" s="4" t="s">
        <v>20</v>
      </c>
      <c r="D18" s="3" t="s">
        <v>21</v>
      </c>
      <c r="E18" s="4">
        <v>3500</v>
      </c>
      <c r="F18" s="5">
        <f t="shared" ref="F18:F19" si="40">E18*52%</f>
        <v>1820</v>
      </c>
      <c r="G18" s="6">
        <f t="shared" ref="G18:G19" si="41">IF(D18="A",E18*25%,IF(D18="B",E18*15%,E18*10%))</f>
        <v>525</v>
      </c>
      <c r="H18" s="5">
        <f t="shared" ref="H18:H19" si="42">E18*8%</f>
        <v>280</v>
      </c>
      <c r="I18" s="7">
        <f t="shared" ref="I18:I19" si="43">SUM(E18:H18)</f>
        <v>6125</v>
      </c>
      <c r="J18" s="8">
        <f t="shared" ref="J18:J19" si="44">E18*12.5%</f>
        <v>437.5</v>
      </c>
      <c r="K18" s="5">
        <f t="shared" ref="K18:K19" si="45">IF(I18&lt;=10000,100,IF(AND(I18&gt;10000,I18&lt;20000),200,300))</f>
        <v>100</v>
      </c>
      <c r="L18" s="4">
        <v>200</v>
      </c>
      <c r="M18" s="10">
        <f t="shared" ref="M18:M19" si="46">SUM(J18:L18)</f>
        <v>737.5</v>
      </c>
      <c r="N18" s="11">
        <f t="shared" ref="N18:N19" si="47">I18-M18</f>
        <v>5387.5</v>
      </c>
    </row>
    <row r="19" spans="1:14" x14ac:dyDescent="0.25">
      <c r="A19" s="3" t="s">
        <v>39</v>
      </c>
      <c r="B19" s="4" t="s">
        <v>23</v>
      </c>
      <c r="C19" s="4" t="s">
        <v>24</v>
      </c>
      <c r="D19" s="3" t="s">
        <v>17</v>
      </c>
      <c r="E19" s="4">
        <v>7500</v>
      </c>
      <c r="F19" s="5">
        <f t="shared" si="40"/>
        <v>3900</v>
      </c>
      <c r="G19" s="6">
        <f t="shared" si="41"/>
        <v>1875</v>
      </c>
      <c r="H19" s="5">
        <f t="shared" si="42"/>
        <v>600</v>
      </c>
      <c r="I19" s="7">
        <f t="shared" si="43"/>
        <v>13875</v>
      </c>
      <c r="J19" s="8">
        <f t="shared" si="44"/>
        <v>937.5</v>
      </c>
      <c r="K19" s="5">
        <f t="shared" si="45"/>
        <v>200</v>
      </c>
      <c r="L19" s="4">
        <v>3500</v>
      </c>
      <c r="M19" s="10">
        <f t="shared" si="46"/>
        <v>4637.5</v>
      </c>
      <c r="N19" s="11">
        <f t="shared" si="47"/>
        <v>9237.5</v>
      </c>
    </row>
    <row r="20" spans="1:14" x14ac:dyDescent="0.25">
      <c r="A20" s="3" t="s">
        <v>40</v>
      </c>
      <c r="B20" s="4" t="s">
        <v>15</v>
      </c>
      <c r="C20" s="4" t="s">
        <v>16</v>
      </c>
      <c r="D20" s="3" t="s">
        <v>17</v>
      </c>
      <c r="E20" s="4">
        <v>18050</v>
      </c>
      <c r="F20" s="5">
        <f>E20*52%</f>
        <v>9386</v>
      </c>
      <c r="G20" s="6">
        <f>IF(D20="A",E20*25%,IF(D20="B",E20*15%,E20*10%))</f>
        <v>4512.5</v>
      </c>
      <c r="H20" s="5">
        <f>E20*8%</f>
        <v>1444</v>
      </c>
      <c r="I20" s="7">
        <f>SUM(E20:H20)</f>
        <v>33392.5</v>
      </c>
      <c r="J20" s="8">
        <f>E20*12.5%</f>
        <v>2256.25</v>
      </c>
      <c r="K20" s="5">
        <f>IF(I20&lt;=10000,100,IF(AND(I20&gt;10000,I20&lt;20000),200,300))</f>
        <v>300</v>
      </c>
      <c r="L20" s="9">
        <v>500</v>
      </c>
      <c r="M20" s="10">
        <f>SUM(J20:L20)</f>
        <v>3056.25</v>
      </c>
      <c r="N20" s="11">
        <f>I20-M20</f>
        <v>30336.25</v>
      </c>
    </row>
    <row r="21" spans="1:14" x14ac:dyDescent="0.25">
      <c r="A21" s="3" t="s">
        <v>41</v>
      </c>
      <c r="B21" s="4" t="s">
        <v>19</v>
      </c>
      <c r="C21" s="4" t="s">
        <v>20</v>
      </c>
      <c r="D21" s="3" t="s">
        <v>21</v>
      </c>
      <c r="E21" s="4">
        <v>3500</v>
      </c>
      <c r="F21" s="5">
        <f t="shared" ref="F21:F22" si="48">E21*52%</f>
        <v>1820</v>
      </c>
      <c r="G21" s="6">
        <f t="shared" ref="G21:G22" si="49">IF(D21="A",E21*25%,IF(D21="B",E21*15%,E21*10%))</f>
        <v>525</v>
      </c>
      <c r="H21" s="5">
        <f t="shared" ref="H21:H22" si="50">E21*8%</f>
        <v>280</v>
      </c>
      <c r="I21" s="7">
        <f t="shared" ref="I21:I22" si="51">SUM(E21:H21)</f>
        <v>6125</v>
      </c>
      <c r="J21" s="8">
        <f t="shared" ref="J21:J22" si="52">E21*12.5%</f>
        <v>437.5</v>
      </c>
      <c r="K21" s="5">
        <f t="shared" ref="K21:K22" si="53">IF(I21&lt;=10000,100,IF(AND(I21&gt;10000,I21&lt;20000),200,300))</f>
        <v>100</v>
      </c>
      <c r="L21" s="4">
        <v>200</v>
      </c>
      <c r="M21" s="10">
        <f t="shared" ref="M21:M22" si="54">SUM(J21:L21)</f>
        <v>737.5</v>
      </c>
      <c r="N21" s="11">
        <f t="shared" ref="N21:N22" si="55">I21-M21</f>
        <v>5387.5</v>
      </c>
    </row>
    <row r="22" spans="1:14" x14ac:dyDescent="0.25">
      <c r="A22" s="3" t="s">
        <v>42</v>
      </c>
      <c r="B22" s="4" t="s">
        <v>23</v>
      </c>
      <c r="C22" s="4" t="s">
        <v>24</v>
      </c>
      <c r="D22" s="3" t="s">
        <v>17</v>
      </c>
      <c r="E22" s="4">
        <v>7500</v>
      </c>
      <c r="F22" s="5">
        <f t="shared" si="48"/>
        <v>3900</v>
      </c>
      <c r="G22" s="6">
        <f t="shared" si="49"/>
        <v>1875</v>
      </c>
      <c r="H22" s="5">
        <f t="shared" si="50"/>
        <v>600</v>
      </c>
      <c r="I22" s="7">
        <f t="shared" si="51"/>
        <v>13875</v>
      </c>
      <c r="J22" s="8">
        <f t="shared" si="52"/>
        <v>937.5</v>
      </c>
      <c r="K22" s="5">
        <f t="shared" si="53"/>
        <v>200</v>
      </c>
      <c r="L22" s="4">
        <v>3500</v>
      </c>
      <c r="M22" s="10">
        <f t="shared" si="54"/>
        <v>4637.5</v>
      </c>
      <c r="N22" s="11">
        <f t="shared" si="55"/>
        <v>9237.5</v>
      </c>
    </row>
    <row r="23" spans="1:14" x14ac:dyDescent="0.25">
      <c r="A23" s="3" t="s">
        <v>43</v>
      </c>
      <c r="B23" s="4" t="s">
        <v>15</v>
      </c>
      <c r="C23" s="4" t="s">
        <v>16</v>
      </c>
      <c r="D23" s="3" t="s">
        <v>17</v>
      </c>
      <c r="E23" s="4">
        <v>18050</v>
      </c>
      <c r="F23" s="5">
        <f>E23*52%</f>
        <v>9386</v>
      </c>
      <c r="G23" s="6">
        <f>IF(D23="A",E23*25%,IF(D23="B",E23*15%,E23*10%))</f>
        <v>4512.5</v>
      </c>
      <c r="H23" s="5">
        <f>E23*8%</f>
        <v>1444</v>
      </c>
      <c r="I23" s="7">
        <f>SUM(E23:H23)</f>
        <v>33392.5</v>
      </c>
      <c r="J23" s="8">
        <f>E23*12.5%</f>
        <v>2256.25</v>
      </c>
      <c r="K23" s="5">
        <f>IF(I23&lt;=10000,100,IF(AND(I23&gt;10000,I23&lt;20000),200,300))</f>
        <v>300</v>
      </c>
      <c r="L23" s="9">
        <v>500</v>
      </c>
      <c r="M23" s="10">
        <f>SUM(J23:L23)</f>
        <v>3056.25</v>
      </c>
      <c r="N23" s="11">
        <f>I23-M23</f>
        <v>30336.25</v>
      </c>
    </row>
    <row r="24" spans="1:14" x14ac:dyDescent="0.25">
      <c r="A24" s="3" t="s">
        <v>44</v>
      </c>
      <c r="B24" s="4" t="s">
        <v>19</v>
      </c>
      <c r="C24" s="4" t="s">
        <v>20</v>
      </c>
      <c r="D24" s="3" t="s">
        <v>21</v>
      </c>
      <c r="E24" s="4">
        <v>3500</v>
      </c>
      <c r="F24" s="5">
        <f t="shared" ref="F24:F25" si="56">E24*52%</f>
        <v>1820</v>
      </c>
      <c r="G24" s="6">
        <f t="shared" ref="G24:G25" si="57">IF(D24="A",E24*25%,IF(D24="B",E24*15%,E24*10%))</f>
        <v>525</v>
      </c>
      <c r="H24" s="5">
        <f t="shared" ref="H24:H25" si="58">E24*8%</f>
        <v>280</v>
      </c>
      <c r="I24" s="7">
        <f t="shared" ref="I24:I25" si="59">SUM(E24:H24)</f>
        <v>6125</v>
      </c>
      <c r="J24" s="8">
        <f t="shared" ref="J24:J25" si="60">E24*12.5%</f>
        <v>437.5</v>
      </c>
      <c r="K24" s="5">
        <f t="shared" ref="K24:K25" si="61">IF(I24&lt;=10000,100,IF(AND(I24&gt;10000,I24&lt;20000),200,300))</f>
        <v>100</v>
      </c>
      <c r="L24" s="4">
        <v>200</v>
      </c>
      <c r="M24" s="10">
        <f t="shared" ref="M24:M25" si="62">SUM(J24:L24)</f>
        <v>737.5</v>
      </c>
      <c r="N24" s="11">
        <f t="shared" ref="N24:N25" si="63">I24-M24</f>
        <v>5387.5</v>
      </c>
    </row>
    <row r="25" spans="1:14" x14ac:dyDescent="0.25">
      <c r="A25" s="3" t="s">
        <v>45</v>
      </c>
      <c r="B25" s="4" t="s">
        <v>23</v>
      </c>
      <c r="C25" s="4" t="s">
        <v>24</v>
      </c>
      <c r="D25" s="3" t="s">
        <v>17</v>
      </c>
      <c r="E25" s="4">
        <v>7500</v>
      </c>
      <c r="F25" s="5">
        <f t="shared" si="56"/>
        <v>3900</v>
      </c>
      <c r="G25" s="6">
        <f t="shared" si="57"/>
        <v>1875</v>
      </c>
      <c r="H25" s="5">
        <f t="shared" si="58"/>
        <v>600</v>
      </c>
      <c r="I25" s="7">
        <f t="shared" si="59"/>
        <v>13875</v>
      </c>
      <c r="J25" s="8">
        <f t="shared" si="60"/>
        <v>937.5</v>
      </c>
      <c r="K25" s="5">
        <f t="shared" si="61"/>
        <v>200</v>
      </c>
      <c r="L25" s="4">
        <v>3500</v>
      </c>
      <c r="M25" s="10">
        <f t="shared" si="62"/>
        <v>4637.5</v>
      </c>
      <c r="N25" s="11">
        <f t="shared" si="63"/>
        <v>9237.5</v>
      </c>
    </row>
    <row r="26" spans="1:14" x14ac:dyDescent="0.25">
      <c r="A26" s="3" t="s">
        <v>46</v>
      </c>
      <c r="B26" s="4" t="s">
        <v>15</v>
      </c>
      <c r="C26" s="4" t="s">
        <v>16</v>
      </c>
      <c r="D26" s="3" t="s">
        <v>17</v>
      </c>
      <c r="E26" s="4">
        <v>18050</v>
      </c>
      <c r="F26" s="5">
        <f>E26*52%</f>
        <v>9386</v>
      </c>
      <c r="G26" s="6">
        <f>IF(D26="A",E26*25%,IF(D26="B",E26*15%,E26*10%))</f>
        <v>4512.5</v>
      </c>
      <c r="H26" s="5">
        <f>E26*8%</f>
        <v>1444</v>
      </c>
      <c r="I26" s="7">
        <f>SUM(E26:H26)</f>
        <v>33392.5</v>
      </c>
      <c r="J26" s="8">
        <f>E26*12.5%</f>
        <v>2256.25</v>
      </c>
      <c r="K26" s="5">
        <f>IF(I26&lt;=10000,100,IF(AND(I26&gt;10000,I26&lt;20000),200,300))</f>
        <v>300</v>
      </c>
      <c r="L26" s="9">
        <v>500</v>
      </c>
      <c r="M26" s="10">
        <f>SUM(J26:L26)</f>
        <v>3056.25</v>
      </c>
      <c r="N26" s="11">
        <f>I26-M26</f>
        <v>30336.25</v>
      </c>
    </row>
    <row r="27" spans="1:14" x14ac:dyDescent="0.25">
      <c r="A27" s="3" t="s">
        <v>47</v>
      </c>
      <c r="B27" s="4" t="s">
        <v>19</v>
      </c>
      <c r="C27" s="4" t="s">
        <v>20</v>
      </c>
      <c r="D27" s="3" t="s">
        <v>21</v>
      </c>
      <c r="E27" s="4">
        <v>3500</v>
      </c>
      <c r="F27" s="5">
        <f t="shared" ref="F27:F28" si="64">E27*52%</f>
        <v>1820</v>
      </c>
      <c r="G27" s="6">
        <f t="shared" ref="G27:G28" si="65">IF(D27="A",E27*25%,IF(D27="B",E27*15%,E27*10%))</f>
        <v>525</v>
      </c>
      <c r="H27" s="5">
        <f t="shared" ref="H27:H28" si="66">E27*8%</f>
        <v>280</v>
      </c>
      <c r="I27" s="7">
        <f t="shared" ref="I27:I28" si="67">SUM(E27:H27)</f>
        <v>6125</v>
      </c>
      <c r="J27" s="8">
        <f t="shared" ref="J27:J28" si="68">E27*12.5%</f>
        <v>437.5</v>
      </c>
      <c r="K27" s="5">
        <f t="shared" ref="K27:K28" si="69">IF(I27&lt;=10000,100,IF(AND(I27&gt;10000,I27&lt;20000),200,300))</f>
        <v>100</v>
      </c>
      <c r="L27" s="4">
        <v>200</v>
      </c>
      <c r="M27" s="10">
        <f t="shared" ref="M27:M28" si="70">SUM(J27:L27)</f>
        <v>737.5</v>
      </c>
      <c r="N27" s="11">
        <f t="shared" ref="N27:N28" si="71">I27-M27</f>
        <v>5387.5</v>
      </c>
    </row>
    <row r="28" spans="1:14" x14ac:dyDescent="0.25">
      <c r="A28" s="3" t="s">
        <v>48</v>
      </c>
      <c r="B28" s="4" t="s">
        <v>23</v>
      </c>
      <c r="C28" s="4" t="s">
        <v>24</v>
      </c>
      <c r="D28" s="3" t="s">
        <v>17</v>
      </c>
      <c r="E28" s="4">
        <v>7500</v>
      </c>
      <c r="F28" s="5">
        <f t="shared" si="64"/>
        <v>3900</v>
      </c>
      <c r="G28" s="6">
        <f t="shared" si="65"/>
        <v>1875</v>
      </c>
      <c r="H28" s="5">
        <f t="shared" si="66"/>
        <v>600</v>
      </c>
      <c r="I28" s="7">
        <f t="shared" si="67"/>
        <v>13875</v>
      </c>
      <c r="J28" s="8">
        <f t="shared" si="68"/>
        <v>937.5</v>
      </c>
      <c r="K28" s="5">
        <f t="shared" si="69"/>
        <v>200</v>
      </c>
      <c r="L28" s="4">
        <v>3500</v>
      </c>
      <c r="M28" s="10">
        <f t="shared" si="70"/>
        <v>4637.5</v>
      </c>
      <c r="N28" s="11">
        <f t="shared" si="71"/>
        <v>9237.5</v>
      </c>
    </row>
    <row r="29" spans="1:14" x14ac:dyDescent="0.25">
      <c r="A29" s="3" t="s">
        <v>49</v>
      </c>
      <c r="B29" s="4" t="s">
        <v>15</v>
      </c>
      <c r="C29" s="4" t="s">
        <v>16</v>
      </c>
      <c r="D29" s="3" t="s">
        <v>17</v>
      </c>
      <c r="E29" s="4">
        <v>18050</v>
      </c>
      <c r="F29" s="5">
        <f>E29*52%</f>
        <v>9386</v>
      </c>
      <c r="G29" s="6">
        <f>IF(D29="A",E29*25%,IF(D29="B",E29*15%,E29*10%))</f>
        <v>4512.5</v>
      </c>
      <c r="H29" s="5">
        <f>E29*8%</f>
        <v>1444</v>
      </c>
      <c r="I29" s="7">
        <f>SUM(E29:H29)</f>
        <v>33392.5</v>
      </c>
      <c r="J29" s="8">
        <f>E29*12.5%</f>
        <v>2256.25</v>
      </c>
      <c r="K29" s="5">
        <f>IF(I29&lt;=10000,100,IF(AND(I29&gt;10000,I29&lt;20000),200,300))</f>
        <v>300</v>
      </c>
      <c r="L29" s="9">
        <v>500</v>
      </c>
      <c r="M29" s="10">
        <f>SUM(J29:L29)</f>
        <v>3056.25</v>
      </c>
      <c r="N29" s="11">
        <f>I29-M29</f>
        <v>30336.25</v>
      </c>
    </row>
    <row r="30" spans="1:14" x14ac:dyDescent="0.25">
      <c r="A30" s="3" t="s">
        <v>50</v>
      </c>
      <c r="B30" s="4" t="s">
        <v>19</v>
      </c>
      <c r="C30" s="4" t="s">
        <v>20</v>
      </c>
      <c r="D30" s="3" t="s">
        <v>21</v>
      </c>
      <c r="E30" s="4">
        <v>3500</v>
      </c>
      <c r="F30" s="5">
        <f t="shared" ref="F30:F31" si="72">E30*52%</f>
        <v>1820</v>
      </c>
      <c r="G30" s="6">
        <f t="shared" ref="G30:G31" si="73">IF(D30="A",E30*25%,IF(D30="B",E30*15%,E30*10%))</f>
        <v>525</v>
      </c>
      <c r="H30" s="5">
        <f t="shared" ref="H30:H31" si="74">E30*8%</f>
        <v>280</v>
      </c>
      <c r="I30" s="7">
        <f t="shared" ref="I30:I31" si="75">SUM(E30:H30)</f>
        <v>6125</v>
      </c>
      <c r="J30" s="8">
        <f t="shared" ref="J30:J31" si="76">E30*12.5%</f>
        <v>437.5</v>
      </c>
      <c r="K30" s="5">
        <f t="shared" ref="K30:K31" si="77">IF(I30&lt;=10000,100,IF(AND(I30&gt;10000,I30&lt;20000),200,300))</f>
        <v>100</v>
      </c>
      <c r="L30" s="4">
        <v>200</v>
      </c>
      <c r="M30" s="10">
        <f t="shared" ref="M30:M31" si="78">SUM(J30:L30)</f>
        <v>737.5</v>
      </c>
      <c r="N30" s="11">
        <f t="shared" ref="N30:N31" si="79">I30-M30</f>
        <v>5387.5</v>
      </c>
    </row>
    <row r="31" spans="1:14" x14ac:dyDescent="0.25">
      <c r="A31" s="3" t="s">
        <v>51</v>
      </c>
      <c r="B31" s="4" t="s">
        <v>23</v>
      </c>
      <c r="C31" s="4" t="s">
        <v>24</v>
      </c>
      <c r="D31" s="3" t="s">
        <v>17</v>
      </c>
      <c r="E31" s="4">
        <v>7500</v>
      </c>
      <c r="F31" s="5">
        <f t="shared" si="72"/>
        <v>3900</v>
      </c>
      <c r="G31" s="6">
        <f t="shared" si="73"/>
        <v>1875</v>
      </c>
      <c r="H31" s="5">
        <f t="shared" si="74"/>
        <v>600</v>
      </c>
      <c r="I31" s="7">
        <f t="shared" si="75"/>
        <v>13875</v>
      </c>
      <c r="J31" s="8">
        <f t="shared" si="76"/>
        <v>937.5</v>
      </c>
      <c r="K31" s="5">
        <f t="shared" si="77"/>
        <v>200</v>
      </c>
      <c r="L31" s="4">
        <v>3500</v>
      </c>
      <c r="M31" s="10">
        <f t="shared" si="78"/>
        <v>4637.5</v>
      </c>
      <c r="N31" s="11">
        <f t="shared" si="79"/>
        <v>9237.5</v>
      </c>
    </row>
    <row r="32" spans="1:14" x14ac:dyDescent="0.25">
      <c r="A32" s="3" t="s">
        <v>52</v>
      </c>
      <c r="B32" s="4" t="s">
        <v>15</v>
      </c>
      <c r="C32" s="4" t="s">
        <v>16</v>
      </c>
      <c r="D32" s="3" t="s">
        <v>17</v>
      </c>
      <c r="E32" s="4">
        <v>18050</v>
      </c>
      <c r="F32" s="5">
        <f>E32*52%</f>
        <v>9386</v>
      </c>
      <c r="G32" s="6">
        <f>IF(D32="A",E32*25%,IF(D32="B",E32*15%,E32*10%))</f>
        <v>4512.5</v>
      </c>
      <c r="H32" s="5">
        <f>E32*8%</f>
        <v>1444</v>
      </c>
      <c r="I32" s="7">
        <f>SUM(E32:H32)</f>
        <v>33392.5</v>
      </c>
      <c r="J32" s="8">
        <f>E32*12.5%</f>
        <v>2256.25</v>
      </c>
      <c r="K32" s="5">
        <f>IF(I32&lt;=10000,100,IF(AND(I32&gt;10000,I32&lt;20000),200,300))</f>
        <v>300</v>
      </c>
      <c r="L32" s="9">
        <v>500</v>
      </c>
      <c r="M32" s="10">
        <f>SUM(J32:L32)</f>
        <v>3056.25</v>
      </c>
      <c r="N32" s="11">
        <f>I32-M32</f>
        <v>30336.25</v>
      </c>
    </row>
    <row r="33" spans="1:14" x14ac:dyDescent="0.25">
      <c r="A33" s="3" t="s">
        <v>53</v>
      </c>
      <c r="B33" s="4" t="s">
        <v>19</v>
      </c>
      <c r="C33" s="4" t="s">
        <v>20</v>
      </c>
      <c r="D33" s="3" t="s">
        <v>21</v>
      </c>
      <c r="E33" s="4">
        <v>3500</v>
      </c>
      <c r="F33" s="5">
        <f t="shared" ref="F33:F34" si="80">E33*52%</f>
        <v>1820</v>
      </c>
      <c r="G33" s="6">
        <f t="shared" ref="G33:G34" si="81">IF(D33="A",E33*25%,IF(D33="B",E33*15%,E33*10%))</f>
        <v>525</v>
      </c>
      <c r="H33" s="5">
        <f t="shared" ref="H33:H34" si="82">E33*8%</f>
        <v>280</v>
      </c>
      <c r="I33" s="7">
        <f t="shared" ref="I33:I34" si="83">SUM(E33:H33)</f>
        <v>6125</v>
      </c>
      <c r="J33" s="8">
        <f t="shared" ref="J33:J34" si="84">E33*12.5%</f>
        <v>437.5</v>
      </c>
      <c r="K33" s="5">
        <f t="shared" ref="K33:K34" si="85">IF(I33&lt;=10000,100,IF(AND(I33&gt;10000,I33&lt;20000),200,300))</f>
        <v>100</v>
      </c>
      <c r="L33" s="4">
        <v>200</v>
      </c>
      <c r="M33" s="10">
        <f t="shared" ref="M33:M34" si="86">SUM(J33:L33)</f>
        <v>737.5</v>
      </c>
      <c r="N33" s="11">
        <f t="shared" ref="N33:N34" si="87">I33-M33</f>
        <v>5387.5</v>
      </c>
    </row>
    <row r="34" spans="1:14" x14ac:dyDescent="0.25">
      <c r="A34" s="3" t="s">
        <v>54</v>
      </c>
      <c r="B34" s="4" t="s">
        <v>23</v>
      </c>
      <c r="C34" s="4" t="s">
        <v>24</v>
      </c>
      <c r="D34" s="3" t="s">
        <v>17</v>
      </c>
      <c r="E34" s="4">
        <v>7500</v>
      </c>
      <c r="F34" s="5">
        <f t="shared" si="80"/>
        <v>3900</v>
      </c>
      <c r="G34" s="6">
        <f t="shared" si="81"/>
        <v>1875</v>
      </c>
      <c r="H34" s="5">
        <f t="shared" si="82"/>
        <v>600</v>
      </c>
      <c r="I34" s="7">
        <f t="shared" si="83"/>
        <v>13875</v>
      </c>
      <c r="J34" s="8">
        <f t="shared" si="84"/>
        <v>937.5</v>
      </c>
      <c r="K34" s="5">
        <f t="shared" si="85"/>
        <v>200</v>
      </c>
      <c r="L34" s="4">
        <v>3500</v>
      </c>
      <c r="M34" s="10">
        <f t="shared" si="86"/>
        <v>4637.5</v>
      </c>
      <c r="N34" s="11">
        <f t="shared" si="87"/>
        <v>9237.5</v>
      </c>
    </row>
    <row r="35" spans="1:14" x14ac:dyDescent="0.25">
      <c r="A35" s="3" t="s">
        <v>55</v>
      </c>
      <c r="B35" s="4" t="s">
        <v>15</v>
      </c>
      <c r="C35" s="4" t="s">
        <v>16</v>
      </c>
      <c r="D35" s="3" t="s">
        <v>17</v>
      </c>
      <c r="E35" s="4">
        <v>18050</v>
      </c>
      <c r="F35" s="5">
        <f>E35*52%</f>
        <v>9386</v>
      </c>
      <c r="G35" s="6">
        <f>IF(D35="A",E35*25%,IF(D35="B",E35*15%,E35*10%))</f>
        <v>4512.5</v>
      </c>
      <c r="H35" s="5">
        <f>E35*8%</f>
        <v>1444</v>
      </c>
      <c r="I35" s="7">
        <f>SUM(E35:H35)</f>
        <v>33392.5</v>
      </c>
      <c r="J35" s="8">
        <f>E35*12.5%</f>
        <v>2256.25</v>
      </c>
      <c r="K35" s="5">
        <f>IF(I35&lt;=10000,100,IF(AND(I35&gt;10000,I35&lt;20000),200,300))</f>
        <v>300</v>
      </c>
      <c r="L35" s="9">
        <v>500</v>
      </c>
      <c r="M35" s="10">
        <f>SUM(J35:L35)</f>
        <v>3056.25</v>
      </c>
      <c r="N35" s="11">
        <f>I35-M35</f>
        <v>30336.25</v>
      </c>
    </row>
    <row r="36" spans="1:14" x14ac:dyDescent="0.25">
      <c r="A36" s="3" t="s">
        <v>56</v>
      </c>
      <c r="B36" s="4" t="s">
        <v>19</v>
      </c>
      <c r="C36" s="4" t="s">
        <v>20</v>
      </c>
      <c r="D36" s="3" t="s">
        <v>21</v>
      </c>
      <c r="E36" s="4">
        <v>3500</v>
      </c>
      <c r="F36" s="5">
        <f t="shared" ref="F36:F37" si="88">E36*52%</f>
        <v>1820</v>
      </c>
      <c r="G36" s="6">
        <f t="shared" ref="G36:G37" si="89">IF(D36="A",E36*25%,IF(D36="B",E36*15%,E36*10%))</f>
        <v>525</v>
      </c>
      <c r="H36" s="5">
        <f t="shared" ref="H36:H37" si="90">E36*8%</f>
        <v>280</v>
      </c>
      <c r="I36" s="7">
        <f t="shared" ref="I36:I37" si="91">SUM(E36:H36)</f>
        <v>6125</v>
      </c>
      <c r="J36" s="8">
        <f t="shared" ref="J36:J37" si="92">E36*12.5%</f>
        <v>437.5</v>
      </c>
      <c r="K36" s="5">
        <f t="shared" ref="K36:K37" si="93">IF(I36&lt;=10000,100,IF(AND(I36&gt;10000,I36&lt;20000),200,300))</f>
        <v>100</v>
      </c>
      <c r="L36" s="4">
        <v>200</v>
      </c>
      <c r="M36" s="10">
        <f t="shared" ref="M36:M37" si="94">SUM(J36:L36)</f>
        <v>737.5</v>
      </c>
      <c r="N36" s="11">
        <f t="shared" ref="N36:N37" si="95">I36-M36</f>
        <v>5387.5</v>
      </c>
    </row>
    <row r="37" spans="1:14" x14ac:dyDescent="0.25">
      <c r="A37" s="3" t="s">
        <v>57</v>
      </c>
      <c r="B37" s="4" t="s">
        <v>23</v>
      </c>
      <c r="C37" s="4" t="s">
        <v>24</v>
      </c>
      <c r="D37" s="3" t="s">
        <v>17</v>
      </c>
      <c r="E37" s="4">
        <v>7500</v>
      </c>
      <c r="F37" s="5">
        <f t="shared" si="88"/>
        <v>3900</v>
      </c>
      <c r="G37" s="6">
        <f t="shared" si="89"/>
        <v>1875</v>
      </c>
      <c r="H37" s="5">
        <f t="shared" si="90"/>
        <v>600</v>
      </c>
      <c r="I37" s="7">
        <f t="shared" si="91"/>
        <v>13875</v>
      </c>
      <c r="J37" s="8">
        <f t="shared" si="92"/>
        <v>937.5</v>
      </c>
      <c r="K37" s="5">
        <f t="shared" si="93"/>
        <v>200</v>
      </c>
      <c r="L37" s="4">
        <v>3500</v>
      </c>
      <c r="M37" s="10">
        <f t="shared" si="94"/>
        <v>4637.5</v>
      </c>
      <c r="N37" s="11">
        <f t="shared" si="95"/>
        <v>9237.5</v>
      </c>
    </row>
    <row r="38" spans="1:14" x14ac:dyDescent="0.25">
      <c r="A38" s="3" t="s">
        <v>58</v>
      </c>
      <c r="B38" s="4" t="s">
        <v>15</v>
      </c>
      <c r="C38" s="4" t="s">
        <v>16</v>
      </c>
      <c r="D38" s="3" t="s">
        <v>17</v>
      </c>
      <c r="E38" s="4">
        <v>18050</v>
      </c>
      <c r="F38" s="5">
        <f>E38*52%</f>
        <v>9386</v>
      </c>
      <c r="G38" s="6">
        <f>IF(D38="A",E38*25%,IF(D38="B",E38*15%,E38*10%))</f>
        <v>4512.5</v>
      </c>
      <c r="H38" s="5">
        <f>E38*8%</f>
        <v>1444</v>
      </c>
      <c r="I38" s="7">
        <f>SUM(E38:H38)</f>
        <v>33392.5</v>
      </c>
      <c r="J38" s="8">
        <f>E38*12.5%</f>
        <v>2256.25</v>
      </c>
      <c r="K38" s="5">
        <f>IF(I38&lt;=10000,100,IF(AND(I38&gt;10000,I38&lt;20000),200,300))</f>
        <v>300</v>
      </c>
      <c r="L38" s="9">
        <v>500</v>
      </c>
      <c r="M38" s="10">
        <f>SUM(J38:L38)</f>
        <v>3056.25</v>
      </c>
      <c r="N38" s="11">
        <f>I38-M38</f>
        <v>30336.25</v>
      </c>
    </row>
    <row r="39" spans="1:14" x14ac:dyDescent="0.25">
      <c r="A39" s="3" t="s">
        <v>59</v>
      </c>
      <c r="B39" s="4" t="s">
        <v>19</v>
      </c>
      <c r="C39" s="4" t="s">
        <v>20</v>
      </c>
      <c r="D39" s="3" t="s">
        <v>21</v>
      </c>
      <c r="E39" s="4">
        <v>3500</v>
      </c>
      <c r="F39" s="5">
        <f t="shared" ref="F39:F40" si="96">E39*52%</f>
        <v>1820</v>
      </c>
      <c r="G39" s="6">
        <f t="shared" ref="G39:G40" si="97">IF(D39="A",E39*25%,IF(D39="B",E39*15%,E39*10%))</f>
        <v>525</v>
      </c>
      <c r="H39" s="5">
        <f t="shared" ref="H39:H40" si="98">E39*8%</f>
        <v>280</v>
      </c>
      <c r="I39" s="7">
        <f t="shared" ref="I39:I40" si="99">SUM(E39:H39)</f>
        <v>6125</v>
      </c>
      <c r="J39" s="8">
        <f t="shared" ref="J39:J40" si="100">E39*12.5%</f>
        <v>437.5</v>
      </c>
      <c r="K39" s="5">
        <f t="shared" ref="K39:K40" si="101">IF(I39&lt;=10000,100,IF(AND(I39&gt;10000,I39&lt;20000),200,300))</f>
        <v>100</v>
      </c>
      <c r="L39" s="4">
        <v>200</v>
      </c>
      <c r="M39" s="10">
        <f t="shared" ref="M39:M40" si="102">SUM(J39:L39)</f>
        <v>737.5</v>
      </c>
      <c r="N39" s="11">
        <f t="shared" ref="N39:N40" si="103">I39-M39</f>
        <v>5387.5</v>
      </c>
    </row>
    <row r="40" spans="1:14" x14ac:dyDescent="0.25">
      <c r="A40" s="3" t="s">
        <v>60</v>
      </c>
      <c r="B40" s="4" t="s">
        <v>23</v>
      </c>
      <c r="C40" s="4" t="s">
        <v>24</v>
      </c>
      <c r="D40" s="3" t="s">
        <v>17</v>
      </c>
      <c r="E40" s="4">
        <v>7500</v>
      </c>
      <c r="F40" s="5">
        <f t="shared" si="96"/>
        <v>3900</v>
      </c>
      <c r="G40" s="6">
        <f t="shared" si="97"/>
        <v>1875</v>
      </c>
      <c r="H40" s="5">
        <f t="shared" si="98"/>
        <v>600</v>
      </c>
      <c r="I40" s="7">
        <f t="shared" si="99"/>
        <v>13875</v>
      </c>
      <c r="J40" s="8">
        <f t="shared" si="100"/>
        <v>937.5</v>
      </c>
      <c r="K40" s="5">
        <f t="shared" si="101"/>
        <v>200</v>
      </c>
      <c r="L40" s="4">
        <v>3500</v>
      </c>
      <c r="M40" s="10">
        <f t="shared" si="102"/>
        <v>4637.5</v>
      </c>
      <c r="N40" s="11">
        <f t="shared" si="103"/>
        <v>9237.5</v>
      </c>
    </row>
    <row r="41" spans="1:14" x14ac:dyDescent="0.25">
      <c r="A41" s="3" t="s">
        <v>61</v>
      </c>
      <c r="B41" s="4" t="s">
        <v>15</v>
      </c>
      <c r="C41" s="4" t="s">
        <v>16</v>
      </c>
      <c r="D41" s="3" t="s">
        <v>17</v>
      </c>
      <c r="E41" s="4">
        <v>18050</v>
      </c>
      <c r="F41" s="5">
        <f>E41*52%</f>
        <v>9386</v>
      </c>
      <c r="G41" s="6">
        <f>IF(D41="A",E41*25%,IF(D41="B",E41*15%,E41*10%))</f>
        <v>4512.5</v>
      </c>
      <c r="H41" s="5">
        <f>E41*8%</f>
        <v>1444</v>
      </c>
      <c r="I41" s="7">
        <f>SUM(E41:H41)</f>
        <v>33392.5</v>
      </c>
      <c r="J41" s="8">
        <f>E41*12.5%</f>
        <v>2256.25</v>
      </c>
      <c r="K41" s="5">
        <f>IF(I41&lt;=10000,100,IF(AND(I41&gt;10000,I41&lt;20000),200,300))</f>
        <v>300</v>
      </c>
      <c r="L41" s="9">
        <v>500</v>
      </c>
      <c r="M41" s="10">
        <f>SUM(J41:L41)</f>
        <v>3056.25</v>
      </c>
      <c r="N41" s="11">
        <f>I41-M41</f>
        <v>30336.25</v>
      </c>
    </row>
    <row r="42" spans="1:14" x14ac:dyDescent="0.25">
      <c r="A42" s="3" t="s">
        <v>62</v>
      </c>
      <c r="B42" s="4" t="s">
        <v>19</v>
      </c>
      <c r="C42" s="4" t="s">
        <v>20</v>
      </c>
      <c r="D42" s="3" t="s">
        <v>21</v>
      </c>
      <c r="E42" s="4">
        <v>3500</v>
      </c>
      <c r="F42" s="5">
        <f t="shared" ref="F42:F43" si="104">E42*52%</f>
        <v>1820</v>
      </c>
      <c r="G42" s="6">
        <f t="shared" ref="G42:G43" si="105">IF(D42="A",E42*25%,IF(D42="B",E42*15%,E42*10%))</f>
        <v>525</v>
      </c>
      <c r="H42" s="5">
        <f t="shared" ref="H42:H43" si="106">E42*8%</f>
        <v>280</v>
      </c>
      <c r="I42" s="7">
        <f t="shared" ref="I42:I43" si="107">SUM(E42:H42)</f>
        <v>6125</v>
      </c>
      <c r="J42" s="8">
        <f t="shared" ref="J42:J43" si="108">E42*12.5%</f>
        <v>437.5</v>
      </c>
      <c r="K42" s="5">
        <f t="shared" ref="K42:K43" si="109">IF(I42&lt;=10000,100,IF(AND(I42&gt;10000,I42&lt;20000),200,300))</f>
        <v>100</v>
      </c>
      <c r="L42" s="4">
        <v>200</v>
      </c>
      <c r="M42" s="10">
        <f t="shared" ref="M42:M43" si="110">SUM(J42:L42)</f>
        <v>737.5</v>
      </c>
      <c r="N42" s="11">
        <f t="shared" ref="N42:N43" si="111">I42-M42</f>
        <v>5387.5</v>
      </c>
    </row>
    <row r="43" spans="1:14" x14ac:dyDescent="0.25">
      <c r="A43" s="3" t="s">
        <v>63</v>
      </c>
      <c r="B43" s="4" t="s">
        <v>23</v>
      </c>
      <c r="C43" s="4" t="s">
        <v>24</v>
      </c>
      <c r="D43" s="3" t="s">
        <v>17</v>
      </c>
      <c r="E43" s="4">
        <v>7500</v>
      </c>
      <c r="F43" s="5">
        <f t="shared" si="104"/>
        <v>3900</v>
      </c>
      <c r="G43" s="6">
        <f t="shared" si="105"/>
        <v>1875</v>
      </c>
      <c r="H43" s="5">
        <f t="shared" si="106"/>
        <v>600</v>
      </c>
      <c r="I43" s="7">
        <f t="shared" si="107"/>
        <v>13875</v>
      </c>
      <c r="J43" s="8">
        <f t="shared" si="108"/>
        <v>937.5</v>
      </c>
      <c r="K43" s="5">
        <f t="shared" si="109"/>
        <v>200</v>
      </c>
      <c r="L43" s="4">
        <v>3500</v>
      </c>
      <c r="M43" s="10">
        <f t="shared" si="110"/>
        <v>4637.5</v>
      </c>
      <c r="N43" s="11">
        <f t="shared" si="111"/>
        <v>9237.5</v>
      </c>
    </row>
    <row r="44" spans="1:14" x14ac:dyDescent="0.25">
      <c r="A44" s="3" t="s">
        <v>64</v>
      </c>
      <c r="B44" s="4" t="s">
        <v>15</v>
      </c>
      <c r="C44" s="4" t="s">
        <v>16</v>
      </c>
      <c r="D44" s="3" t="s">
        <v>17</v>
      </c>
      <c r="E44" s="4">
        <v>18050</v>
      </c>
      <c r="F44" s="5">
        <f>E44*52%</f>
        <v>9386</v>
      </c>
      <c r="G44" s="6">
        <f>IF(D44="A",E44*25%,IF(D44="B",E44*15%,E44*10%))</f>
        <v>4512.5</v>
      </c>
      <c r="H44" s="5">
        <f>E44*8%</f>
        <v>1444</v>
      </c>
      <c r="I44" s="7">
        <f>SUM(E44:H44)</f>
        <v>33392.5</v>
      </c>
      <c r="J44" s="8">
        <f>E44*12.5%</f>
        <v>2256.25</v>
      </c>
      <c r="K44" s="5">
        <f>IF(I44&lt;=10000,100,IF(AND(I44&gt;10000,I44&lt;20000),200,300))</f>
        <v>300</v>
      </c>
      <c r="L44" s="9">
        <v>500</v>
      </c>
      <c r="M44" s="10">
        <f>SUM(J44:L44)</f>
        <v>3056.25</v>
      </c>
      <c r="N44" s="11">
        <f>I44-M44</f>
        <v>30336.25</v>
      </c>
    </row>
    <row r="45" spans="1:14" x14ac:dyDescent="0.25">
      <c r="A45" s="3" t="s">
        <v>65</v>
      </c>
      <c r="B45" s="4" t="s">
        <v>19</v>
      </c>
      <c r="C45" s="4" t="s">
        <v>20</v>
      </c>
      <c r="D45" s="3" t="s">
        <v>21</v>
      </c>
      <c r="E45" s="4">
        <v>3500</v>
      </c>
      <c r="F45" s="5">
        <f t="shared" ref="F45:F46" si="112">E45*52%</f>
        <v>1820</v>
      </c>
      <c r="G45" s="6">
        <f t="shared" ref="G45:G46" si="113">IF(D45="A",E45*25%,IF(D45="B",E45*15%,E45*10%))</f>
        <v>525</v>
      </c>
      <c r="H45" s="5">
        <f t="shared" ref="H45:H46" si="114">E45*8%</f>
        <v>280</v>
      </c>
      <c r="I45" s="7">
        <f t="shared" ref="I45:I46" si="115">SUM(E45:H45)</f>
        <v>6125</v>
      </c>
      <c r="J45" s="8">
        <f t="shared" ref="J45:J46" si="116">E45*12.5%</f>
        <v>437.5</v>
      </c>
      <c r="K45" s="5">
        <f t="shared" ref="K45:K46" si="117">IF(I45&lt;=10000,100,IF(AND(I45&gt;10000,I45&lt;20000),200,300))</f>
        <v>100</v>
      </c>
      <c r="L45" s="4">
        <v>200</v>
      </c>
      <c r="M45" s="10">
        <f t="shared" ref="M45:M46" si="118">SUM(J45:L45)</f>
        <v>737.5</v>
      </c>
      <c r="N45" s="11">
        <f t="shared" ref="N45:N46" si="119">I45-M45</f>
        <v>5387.5</v>
      </c>
    </row>
    <row r="46" spans="1:14" x14ac:dyDescent="0.25">
      <c r="A46" s="3" t="s">
        <v>66</v>
      </c>
      <c r="B46" s="4" t="s">
        <v>23</v>
      </c>
      <c r="C46" s="4" t="s">
        <v>24</v>
      </c>
      <c r="D46" s="3" t="s">
        <v>17</v>
      </c>
      <c r="E46" s="4">
        <v>7500</v>
      </c>
      <c r="F46" s="5">
        <f t="shared" si="112"/>
        <v>3900</v>
      </c>
      <c r="G46" s="6">
        <f t="shared" si="113"/>
        <v>1875</v>
      </c>
      <c r="H46" s="5">
        <f t="shared" si="114"/>
        <v>600</v>
      </c>
      <c r="I46" s="7">
        <f t="shared" si="115"/>
        <v>13875</v>
      </c>
      <c r="J46" s="8">
        <f t="shared" si="116"/>
        <v>937.5</v>
      </c>
      <c r="K46" s="5">
        <f t="shared" si="117"/>
        <v>200</v>
      </c>
      <c r="L46" s="4">
        <v>3500</v>
      </c>
      <c r="M46" s="10">
        <f t="shared" si="118"/>
        <v>4637.5</v>
      </c>
      <c r="N46" s="11">
        <f t="shared" si="119"/>
        <v>9237.5</v>
      </c>
    </row>
    <row r="47" spans="1:14" x14ac:dyDescent="0.25">
      <c r="A47" s="3" t="s">
        <v>67</v>
      </c>
      <c r="B47" s="4" t="s">
        <v>15</v>
      </c>
      <c r="C47" s="4" t="s">
        <v>16</v>
      </c>
      <c r="D47" s="3" t="s">
        <v>17</v>
      </c>
      <c r="E47" s="4">
        <v>18050</v>
      </c>
      <c r="F47" s="5">
        <f>E47*52%</f>
        <v>9386</v>
      </c>
      <c r="G47" s="6">
        <f>IF(D47="A",E47*25%,IF(D47="B",E47*15%,E47*10%))</f>
        <v>4512.5</v>
      </c>
      <c r="H47" s="5">
        <f>E47*8%</f>
        <v>1444</v>
      </c>
      <c r="I47" s="7">
        <f>SUM(E47:H47)</f>
        <v>33392.5</v>
      </c>
      <c r="J47" s="8">
        <f>E47*12.5%</f>
        <v>2256.25</v>
      </c>
      <c r="K47" s="5">
        <f>IF(I47&lt;=10000,100,IF(AND(I47&gt;10000,I47&lt;20000),200,300))</f>
        <v>300</v>
      </c>
      <c r="L47" s="9">
        <v>500</v>
      </c>
      <c r="M47" s="10">
        <f>SUM(J47:L47)</f>
        <v>3056.25</v>
      </c>
      <c r="N47" s="11">
        <f>I47-M47</f>
        <v>30336.25</v>
      </c>
    </row>
    <row r="48" spans="1:14" x14ac:dyDescent="0.25">
      <c r="A48" s="3" t="s">
        <v>68</v>
      </c>
      <c r="B48" s="4" t="s">
        <v>19</v>
      </c>
      <c r="C48" s="4" t="s">
        <v>20</v>
      </c>
      <c r="D48" s="3" t="s">
        <v>21</v>
      </c>
      <c r="E48" s="4">
        <v>3500</v>
      </c>
      <c r="F48" s="5">
        <f t="shared" ref="F48:F49" si="120">E48*52%</f>
        <v>1820</v>
      </c>
      <c r="G48" s="6">
        <f t="shared" ref="G48:G49" si="121">IF(D48="A",E48*25%,IF(D48="B",E48*15%,E48*10%))</f>
        <v>525</v>
      </c>
      <c r="H48" s="5">
        <f t="shared" ref="H48:H49" si="122">E48*8%</f>
        <v>280</v>
      </c>
      <c r="I48" s="7">
        <f t="shared" ref="I48:I49" si="123">SUM(E48:H48)</f>
        <v>6125</v>
      </c>
      <c r="J48" s="8">
        <f t="shared" ref="J48:J49" si="124">E48*12.5%</f>
        <v>437.5</v>
      </c>
      <c r="K48" s="5">
        <f t="shared" ref="K48:K49" si="125">IF(I48&lt;=10000,100,IF(AND(I48&gt;10000,I48&lt;20000),200,300))</f>
        <v>100</v>
      </c>
      <c r="L48" s="4">
        <v>200</v>
      </c>
      <c r="M48" s="10">
        <f t="shared" ref="M48:M49" si="126">SUM(J48:L48)</f>
        <v>737.5</v>
      </c>
      <c r="N48" s="11">
        <f t="shared" ref="N48:N49" si="127">I48-M48</f>
        <v>5387.5</v>
      </c>
    </row>
    <row r="49" spans="1:14" x14ac:dyDescent="0.25">
      <c r="A49" s="3" t="s">
        <v>69</v>
      </c>
      <c r="B49" s="4" t="s">
        <v>23</v>
      </c>
      <c r="C49" s="4" t="s">
        <v>24</v>
      </c>
      <c r="D49" s="3" t="s">
        <v>17</v>
      </c>
      <c r="E49" s="4">
        <v>7500</v>
      </c>
      <c r="F49" s="5">
        <f t="shared" si="120"/>
        <v>3900</v>
      </c>
      <c r="G49" s="6">
        <f t="shared" si="121"/>
        <v>1875</v>
      </c>
      <c r="H49" s="5">
        <f t="shared" si="122"/>
        <v>600</v>
      </c>
      <c r="I49" s="7">
        <f t="shared" si="123"/>
        <v>13875</v>
      </c>
      <c r="J49" s="8">
        <f t="shared" si="124"/>
        <v>937.5</v>
      </c>
      <c r="K49" s="5">
        <f t="shared" si="125"/>
        <v>200</v>
      </c>
      <c r="L49" s="4">
        <v>3500</v>
      </c>
      <c r="M49" s="10">
        <f t="shared" si="126"/>
        <v>4637.5</v>
      </c>
      <c r="N49" s="11">
        <f t="shared" si="127"/>
        <v>9237.5</v>
      </c>
    </row>
    <row r="50" spans="1:14" x14ac:dyDescent="0.25">
      <c r="A50" s="3" t="s">
        <v>70</v>
      </c>
      <c r="B50" s="4" t="s">
        <v>15</v>
      </c>
      <c r="C50" s="4" t="s">
        <v>16</v>
      </c>
      <c r="D50" s="3" t="s">
        <v>17</v>
      </c>
      <c r="E50" s="4">
        <v>18050</v>
      </c>
      <c r="F50" s="5">
        <f>E50*52%</f>
        <v>9386</v>
      </c>
      <c r="G50" s="6">
        <f>IF(D50="A",E50*25%,IF(D50="B",E50*15%,E50*10%))</f>
        <v>4512.5</v>
      </c>
      <c r="H50" s="5">
        <f>E50*8%</f>
        <v>1444</v>
      </c>
      <c r="I50" s="7">
        <f>SUM(E50:H50)</f>
        <v>33392.5</v>
      </c>
      <c r="J50" s="8">
        <f>E50*12.5%</f>
        <v>2256.25</v>
      </c>
      <c r="K50" s="5">
        <f>IF(I50&lt;=10000,100,IF(AND(I50&gt;10000,I50&lt;20000),200,300))</f>
        <v>300</v>
      </c>
      <c r="L50" s="9">
        <v>500</v>
      </c>
      <c r="M50" s="10">
        <f>SUM(J50:L50)</f>
        <v>3056.25</v>
      </c>
      <c r="N50" s="11">
        <f>I50-M50</f>
        <v>30336.25</v>
      </c>
    </row>
    <row r="51" spans="1:14" x14ac:dyDescent="0.25">
      <c r="A51" s="3" t="s">
        <v>71</v>
      </c>
      <c r="B51" s="4" t="s">
        <v>19</v>
      </c>
      <c r="C51" s="4" t="s">
        <v>20</v>
      </c>
      <c r="D51" s="3" t="s">
        <v>21</v>
      </c>
      <c r="E51" s="4">
        <v>3500</v>
      </c>
      <c r="F51" s="5">
        <f t="shared" ref="F51:F52" si="128">E51*52%</f>
        <v>1820</v>
      </c>
      <c r="G51" s="6">
        <f t="shared" ref="G51:G52" si="129">IF(D51="A",E51*25%,IF(D51="B",E51*15%,E51*10%))</f>
        <v>525</v>
      </c>
      <c r="H51" s="5">
        <f t="shared" ref="H51:H52" si="130">E51*8%</f>
        <v>280</v>
      </c>
      <c r="I51" s="7">
        <f t="shared" ref="I51:I52" si="131">SUM(E51:H51)</f>
        <v>6125</v>
      </c>
      <c r="J51" s="8">
        <f t="shared" ref="J51:J52" si="132">E51*12.5%</f>
        <v>437.5</v>
      </c>
      <c r="K51" s="5">
        <f t="shared" ref="K51:K52" si="133">IF(I51&lt;=10000,100,IF(AND(I51&gt;10000,I51&lt;20000),200,300))</f>
        <v>100</v>
      </c>
      <c r="L51" s="4">
        <v>200</v>
      </c>
      <c r="M51" s="10">
        <f t="shared" ref="M51:M52" si="134">SUM(J51:L51)</f>
        <v>737.5</v>
      </c>
      <c r="N51" s="11">
        <f t="shared" ref="N51:N52" si="135">I51-M51</f>
        <v>5387.5</v>
      </c>
    </row>
    <row r="52" spans="1:14" x14ac:dyDescent="0.25">
      <c r="A52" s="3" t="s">
        <v>72</v>
      </c>
      <c r="B52" s="4" t="s">
        <v>23</v>
      </c>
      <c r="C52" s="4" t="s">
        <v>24</v>
      </c>
      <c r="D52" s="3" t="s">
        <v>17</v>
      </c>
      <c r="E52" s="4">
        <v>7500</v>
      </c>
      <c r="F52" s="5">
        <f t="shared" si="128"/>
        <v>3900</v>
      </c>
      <c r="G52" s="6">
        <f t="shared" si="129"/>
        <v>1875</v>
      </c>
      <c r="H52" s="5">
        <f t="shared" si="130"/>
        <v>600</v>
      </c>
      <c r="I52" s="7">
        <f t="shared" si="131"/>
        <v>13875</v>
      </c>
      <c r="J52" s="8">
        <f t="shared" si="132"/>
        <v>937.5</v>
      </c>
      <c r="K52" s="5">
        <f t="shared" si="133"/>
        <v>200</v>
      </c>
      <c r="L52" s="4">
        <v>3500</v>
      </c>
      <c r="M52" s="10">
        <f t="shared" si="134"/>
        <v>4637.5</v>
      </c>
      <c r="N52" s="11">
        <f t="shared" si="135"/>
        <v>9237.5</v>
      </c>
    </row>
    <row r="53" spans="1:14" x14ac:dyDescent="0.25">
      <c r="A53" s="3" t="s">
        <v>73</v>
      </c>
      <c r="B53" s="4" t="s">
        <v>15</v>
      </c>
      <c r="C53" s="4" t="s">
        <v>16</v>
      </c>
      <c r="D53" s="3" t="s">
        <v>17</v>
      </c>
      <c r="E53" s="4">
        <v>18050</v>
      </c>
      <c r="F53" s="5">
        <f>E53*52%</f>
        <v>9386</v>
      </c>
      <c r="G53" s="6">
        <f>IF(D53="A",E53*25%,IF(D53="B",E53*15%,E53*10%))</f>
        <v>4512.5</v>
      </c>
      <c r="H53" s="5">
        <f>E53*8%</f>
        <v>1444</v>
      </c>
      <c r="I53" s="7">
        <f>SUM(E53:H53)</f>
        <v>33392.5</v>
      </c>
      <c r="J53" s="8">
        <f>E53*12.5%</f>
        <v>2256.25</v>
      </c>
      <c r="K53" s="5">
        <f>IF(I53&lt;=10000,100,IF(AND(I53&gt;10000,I53&lt;20000),200,300))</f>
        <v>300</v>
      </c>
      <c r="L53" s="9">
        <v>500</v>
      </c>
      <c r="M53" s="10">
        <f>SUM(J53:L53)</f>
        <v>3056.25</v>
      </c>
      <c r="N53" s="11">
        <f>I53-M53</f>
        <v>30336.25</v>
      </c>
    </row>
    <row r="54" spans="1:14" x14ac:dyDescent="0.25">
      <c r="A54" s="3" t="s">
        <v>74</v>
      </c>
      <c r="B54" s="4" t="s">
        <v>19</v>
      </c>
      <c r="C54" s="4" t="s">
        <v>20</v>
      </c>
      <c r="D54" s="3" t="s">
        <v>21</v>
      </c>
      <c r="E54" s="4">
        <v>3500</v>
      </c>
      <c r="F54" s="5">
        <f t="shared" ref="F54:F55" si="136">E54*52%</f>
        <v>1820</v>
      </c>
      <c r="G54" s="6">
        <f t="shared" ref="G54:G55" si="137">IF(D54="A",E54*25%,IF(D54="B",E54*15%,E54*10%))</f>
        <v>525</v>
      </c>
      <c r="H54" s="5">
        <f t="shared" ref="H54:H55" si="138">E54*8%</f>
        <v>280</v>
      </c>
      <c r="I54" s="7">
        <f t="shared" ref="I54:I55" si="139">SUM(E54:H54)</f>
        <v>6125</v>
      </c>
      <c r="J54" s="8">
        <f t="shared" ref="J54:J55" si="140">E54*12.5%</f>
        <v>437.5</v>
      </c>
      <c r="K54" s="5">
        <f t="shared" ref="K54:K55" si="141">IF(I54&lt;=10000,100,IF(AND(I54&gt;10000,I54&lt;20000),200,300))</f>
        <v>100</v>
      </c>
      <c r="L54" s="4">
        <v>200</v>
      </c>
      <c r="M54" s="10">
        <f t="shared" ref="M54:M55" si="142">SUM(J54:L54)</f>
        <v>737.5</v>
      </c>
      <c r="N54" s="11">
        <f t="shared" ref="N54:N55" si="143">I54-M54</f>
        <v>5387.5</v>
      </c>
    </row>
    <row r="55" spans="1:14" x14ac:dyDescent="0.25">
      <c r="A55" s="3" t="s">
        <v>75</v>
      </c>
      <c r="B55" s="4" t="s">
        <v>23</v>
      </c>
      <c r="C55" s="4" t="s">
        <v>24</v>
      </c>
      <c r="D55" s="3" t="s">
        <v>17</v>
      </c>
      <c r="E55" s="4">
        <v>7500</v>
      </c>
      <c r="F55" s="5">
        <f t="shared" si="136"/>
        <v>3900</v>
      </c>
      <c r="G55" s="6">
        <f t="shared" si="137"/>
        <v>1875</v>
      </c>
      <c r="H55" s="5">
        <f t="shared" si="138"/>
        <v>600</v>
      </c>
      <c r="I55" s="7">
        <f t="shared" si="139"/>
        <v>13875</v>
      </c>
      <c r="J55" s="8">
        <f t="shared" si="140"/>
        <v>937.5</v>
      </c>
      <c r="K55" s="5">
        <f t="shared" si="141"/>
        <v>200</v>
      </c>
      <c r="L55" s="4">
        <v>3500</v>
      </c>
      <c r="M55" s="10">
        <f t="shared" si="142"/>
        <v>4637.5</v>
      </c>
      <c r="N55" s="11">
        <f t="shared" si="143"/>
        <v>9237.5</v>
      </c>
    </row>
    <row r="56" spans="1:14" x14ac:dyDescent="0.25">
      <c r="A56" s="3" t="s">
        <v>76</v>
      </c>
      <c r="B56" s="4" t="s">
        <v>15</v>
      </c>
      <c r="C56" s="4" t="s">
        <v>16</v>
      </c>
      <c r="D56" s="3" t="s">
        <v>17</v>
      </c>
      <c r="E56" s="4">
        <v>18050</v>
      </c>
      <c r="F56" s="5">
        <f>E56*52%</f>
        <v>9386</v>
      </c>
      <c r="G56" s="6">
        <f>IF(D56="A",E56*25%,IF(D56="B",E56*15%,E56*10%))</f>
        <v>4512.5</v>
      </c>
      <c r="H56" s="5">
        <f>E56*8%</f>
        <v>1444</v>
      </c>
      <c r="I56" s="7">
        <f>SUM(E56:H56)</f>
        <v>33392.5</v>
      </c>
      <c r="J56" s="8">
        <f>E56*12.5%</f>
        <v>2256.25</v>
      </c>
      <c r="K56" s="5">
        <f>IF(I56&lt;=10000,100,IF(AND(I56&gt;10000,I56&lt;20000),200,300))</f>
        <v>300</v>
      </c>
      <c r="L56" s="9">
        <v>500</v>
      </c>
      <c r="M56" s="10">
        <f>SUM(J56:L56)</f>
        <v>3056.25</v>
      </c>
      <c r="N56" s="11">
        <f>I56-M56</f>
        <v>30336.25</v>
      </c>
    </row>
    <row r="57" spans="1:14" x14ac:dyDescent="0.25">
      <c r="A57" s="3" t="s">
        <v>77</v>
      </c>
      <c r="B57" s="4" t="s">
        <v>19</v>
      </c>
      <c r="C57" s="4" t="s">
        <v>20</v>
      </c>
      <c r="D57" s="3" t="s">
        <v>21</v>
      </c>
      <c r="E57" s="4">
        <v>3500</v>
      </c>
      <c r="F57" s="5">
        <f t="shared" ref="F57:F58" si="144">E57*52%</f>
        <v>1820</v>
      </c>
      <c r="G57" s="6">
        <f t="shared" ref="G57:G58" si="145">IF(D57="A",E57*25%,IF(D57="B",E57*15%,E57*10%))</f>
        <v>525</v>
      </c>
      <c r="H57" s="5">
        <f t="shared" ref="H57:H58" si="146">E57*8%</f>
        <v>280</v>
      </c>
      <c r="I57" s="7">
        <f t="shared" ref="I57:I58" si="147">SUM(E57:H57)</f>
        <v>6125</v>
      </c>
      <c r="J57" s="8">
        <f t="shared" ref="J57:J58" si="148">E57*12.5%</f>
        <v>437.5</v>
      </c>
      <c r="K57" s="5">
        <f t="shared" ref="K57:K58" si="149">IF(I57&lt;=10000,100,IF(AND(I57&gt;10000,I57&lt;20000),200,300))</f>
        <v>100</v>
      </c>
      <c r="L57" s="4">
        <v>200</v>
      </c>
      <c r="M57" s="10">
        <f t="shared" ref="M57:M58" si="150">SUM(J57:L57)</f>
        <v>737.5</v>
      </c>
      <c r="N57" s="11">
        <f t="shared" ref="N57:N58" si="151">I57-M57</f>
        <v>5387.5</v>
      </c>
    </row>
    <row r="58" spans="1:14" x14ac:dyDescent="0.25">
      <c r="A58" s="3" t="s">
        <v>78</v>
      </c>
      <c r="B58" s="4" t="s">
        <v>23</v>
      </c>
      <c r="C58" s="4" t="s">
        <v>24</v>
      </c>
      <c r="D58" s="3" t="s">
        <v>17</v>
      </c>
      <c r="E58" s="4">
        <v>7500</v>
      </c>
      <c r="F58" s="5">
        <f t="shared" si="144"/>
        <v>3900</v>
      </c>
      <c r="G58" s="6">
        <f t="shared" si="145"/>
        <v>1875</v>
      </c>
      <c r="H58" s="5">
        <f t="shared" si="146"/>
        <v>600</v>
      </c>
      <c r="I58" s="7">
        <f t="shared" si="147"/>
        <v>13875</v>
      </c>
      <c r="J58" s="8">
        <f t="shared" si="148"/>
        <v>937.5</v>
      </c>
      <c r="K58" s="5">
        <f t="shared" si="149"/>
        <v>200</v>
      </c>
      <c r="L58" s="4">
        <v>3500</v>
      </c>
      <c r="M58" s="10">
        <f t="shared" si="150"/>
        <v>4637.5</v>
      </c>
      <c r="N58" s="11">
        <f t="shared" si="151"/>
        <v>9237.5</v>
      </c>
    </row>
    <row r="59" spans="1:14" x14ac:dyDescent="0.25">
      <c r="A59" s="3" t="s">
        <v>79</v>
      </c>
      <c r="B59" s="4" t="s">
        <v>15</v>
      </c>
      <c r="C59" s="4" t="s">
        <v>16</v>
      </c>
      <c r="D59" s="3" t="s">
        <v>17</v>
      </c>
      <c r="E59" s="4">
        <v>18050</v>
      </c>
      <c r="F59" s="5">
        <f>E59*52%</f>
        <v>9386</v>
      </c>
      <c r="G59" s="6">
        <f>IF(D59="A",E59*25%,IF(D59="B",E59*15%,E59*10%))</f>
        <v>4512.5</v>
      </c>
      <c r="H59" s="5">
        <f>E59*8%</f>
        <v>1444</v>
      </c>
      <c r="I59" s="7">
        <f>SUM(E59:H59)</f>
        <v>33392.5</v>
      </c>
      <c r="J59" s="8">
        <f>E59*12.5%</f>
        <v>2256.25</v>
      </c>
      <c r="K59" s="5">
        <f>IF(I59&lt;=10000,100,IF(AND(I59&gt;10000,I59&lt;20000),200,300))</f>
        <v>300</v>
      </c>
      <c r="L59" s="9">
        <v>500</v>
      </c>
      <c r="M59" s="10">
        <f>SUM(J59:L59)</f>
        <v>3056.25</v>
      </c>
      <c r="N59" s="11">
        <f>I59-M59</f>
        <v>30336.25</v>
      </c>
    </row>
    <row r="60" spans="1:14" x14ac:dyDescent="0.25">
      <c r="A60" s="3" t="s">
        <v>80</v>
      </c>
      <c r="B60" s="4" t="s">
        <v>19</v>
      </c>
      <c r="C60" s="4" t="s">
        <v>20</v>
      </c>
      <c r="D60" s="3" t="s">
        <v>21</v>
      </c>
      <c r="E60" s="4">
        <v>3500</v>
      </c>
      <c r="F60" s="5">
        <f t="shared" ref="F60:F61" si="152">E60*52%</f>
        <v>1820</v>
      </c>
      <c r="G60" s="6">
        <f t="shared" ref="G60:G61" si="153">IF(D60="A",E60*25%,IF(D60="B",E60*15%,E60*10%))</f>
        <v>525</v>
      </c>
      <c r="H60" s="5">
        <f t="shared" ref="H60:H61" si="154">E60*8%</f>
        <v>280</v>
      </c>
      <c r="I60" s="7">
        <f t="shared" ref="I60:I61" si="155">SUM(E60:H60)</f>
        <v>6125</v>
      </c>
      <c r="J60" s="8">
        <f t="shared" ref="J60:J61" si="156">E60*12.5%</f>
        <v>437.5</v>
      </c>
      <c r="K60" s="5">
        <f t="shared" ref="K60:K61" si="157">IF(I60&lt;=10000,100,IF(AND(I60&gt;10000,I60&lt;20000),200,300))</f>
        <v>100</v>
      </c>
      <c r="L60" s="4">
        <v>200</v>
      </c>
      <c r="M60" s="10">
        <f t="shared" ref="M60:M61" si="158">SUM(J60:L60)</f>
        <v>737.5</v>
      </c>
      <c r="N60" s="11">
        <f t="shared" ref="N60:N61" si="159">I60-M60</f>
        <v>5387.5</v>
      </c>
    </row>
    <row r="61" spans="1:14" x14ac:dyDescent="0.25">
      <c r="A61" s="3" t="s">
        <v>81</v>
      </c>
      <c r="B61" s="4" t="s">
        <v>23</v>
      </c>
      <c r="C61" s="4" t="s">
        <v>24</v>
      </c>
      <c r="D61" s="3" t="s">
        <v>17</v>
      </c>
      <c r="E61" s="4">
        <v>7500</v>
      </c>
      <c r="F61" s="5">
        <f t="shared" si="152"/>
        <v>3900</v>
      </c>
      <c r="G61" s="6">
        <f t="shared" si="153"/>
        <v>1875</v>
      </c>
      <c r="H61" s="5">
        <f t="shared" si="154"/>
        <v>600</v>
      </c>
      <c r="I61" s="7">
        <f t="shared" si="155"/>
        <v>13875</v>
      </c>
      <c r="J61" s="8">
        <f t="shared" si="156"/>
        <v>937.5</v>
      </c>
      <c r="K61" s="5">
        <f t="shared" si="157"/>
        <v>200</v>
      </c>
      <c r="L61" s="4">
        <v>3500</v>
      </c>
      <c r="M61" s="10">
        <f t="shared" si="158"/>
        <v>4637.5</v>
      </c>
      <c r="N61" s="11">
        <f t="shared" si="159"/>
        <v>9237.5</v>
      </c>
    </row>
    <row r="62" spans="1:14" x14ac:dyDescent="0.25">
      <c r="A62" s="3" t="s">
        <v>82</v>
      </c>
      <c r="B62" s="4" t="s">
        <v>15</v>
      </c>
      <c r="C62" s="4" t="s">
        <v>16</v>
      </c>
      <c r="D62" s="3" t="s">
        <v>17</v>
      </c>
      <c r="E62" s="4">
        <v>18050</v>
      </c>
      <c r="F62" s="5">
        <f>E62*52%</f>
        <v>9386</v>
      </c>
      <c r="G62" s="6">
        <f>IF(D62="A",E62*25%,IF(D62="B",E62*15%,E62*10%))</f>
        <v>4512.5</v>
      </c>
      <c r="H62" s="5">
        <f>E62*8%</f>
        <v>1444</v>
      </c>
      <c r="I62" s="7">
        <f>SUM(E62:H62)</f>
        <v>33392.5</v>
      </c>
      <c r="J62" s="8">
        <f>E62*12.5%</f>
        <v>2256.25</v>
      </c>
      <c r="K62" s="5">
        <f>IF(I62&lt;=10000,100,IF(AND(I62&gt;10000,I62&lt;20000),200,300))</f>
        <v>300</v>
      </c>
      <c r="L62" s="9">
        <v>500</v>
      </c>
      <c r="M62" s="10">
        <f>SUM(J62:L62)</f>
        <v>3056.25</v>
      </c>
      <c r="N62" s="11">
        <f>I62-M62</f>
        <v>30336.25</v>
      </c>
    </row>
    <row r="63" spans="1:14" x14ac:dyDescent="0.25">
      <c r="A63" s="3" t="s">
        <v>83</v>
      </c>
      <c r="B63" s="4" t="s">
        <v>19</v>
      </c>
      <c r="C63" s="4" t="s">
        <v>20</v>
      </c>
      <c r="D63" s="3" t="s">
        <v>21</v>
      </c>
      <c r="E63" s="4">
        <v>3500</v>
      </c>
      <c r="F63" s="5">
        <f t="shared" ref="F63:F64" si="160">E63*52%</f>
        <v>1820</v>
      </c>
      <c r="G63" s="6">
        <f t="shared" ref="G63:G64" si="161">IF(D63="A",E63*25%,IF(D63="B",E63*15%,E63*10%))</f>
        <v>525</v>
      </c>
      <c r="H63" s="5">
        <f t="shared" ref="H63:H64" si="162">E63*8%</f>
        <v>280</v>
      </c>
      <c r="I63" s="7">
        <f t="shared" ref="I63:I64" si="163">SUM(E63:H63)</f>
        <v>6125</v>
      </c>
      <c r="J63" s="8">
        <f t="shared" ref="J63:J64" si="164">E63*12.5%</f>
        <v>437.5</v>
      </c>
      <c r="K63" s="5">
        <f t="shared" ref="K63:K64" si="165">IF(I63&lt;=10000,100,IF(AND(I63&gt;10000,I63&lt;20000),200,300))</f>
        <v>100</v>
      </c>
      <c r="L63" s="4">
        <v>200</v>
      </c>
      <c r="M63" s="10">
        <f t="shared" ref="M63:M64" si="166">SUM(J63:L63)</f>
        <v>737.5</v>
      </c>
      <c r="N63" s="11">
        <f t="shared" ref="N63:N64" si="167">I63-M63</f>
        <v>5387.5</v>
      </c>
    </row>
    <row r="64" spans="1:14" x14ac:dyDescent="0.25">
      <c r="A64" s="3" t="s">
        <v>84</v>
      </c>
      <c r="B64" s="4" t="s">
        <v>23</v>
      </c>
      <c r="C64" s="4" t="s">
        <v>24</v>
      </c>
      <c r="D64" s="3" t="s">
        <v>17</v>
      </c>
      <c r="E64" s="4">
        <v>7500</v>
      </c>
      <c r="F64" s="5">
        <f t="shared" si="160"/>
        <v>3900</v>
      </c>
      <c r="G64" s="6">
        <f t="shared" si="161"/>
        <v>1875</v>
      </c>
      <c r="H64" s="5">
        <f t="shared" si="162"/>
        <v>600</v>
      </c>
      <c r="I64" s="7">
        <f t="shared" si="163"/>
        <v>13875</v>
      </c>
      <c r="J64" s="8">
        <f t="shared" si="164"/>
        <v>937.5</v>
      </c>
      <c r="K64" s="5">
        <f t="shared" si="165"/>
        <v>200</v>
      </c>
      <c r="L64" s="4">
        <v>3500</v>
      </c>
      <c r="M64" s="10">
        <f t="shared" si="166"/>
        <v>4637.5</v>
      </c>
      <c r="N64" s="11">
        <f t="shared" si="167"/>
        <v>9237.5</v>
      </c>
    </row>
    <row r="65" spans="1:14" x14ac:dyDescent="0.25">
      <c r="A65" s="3" t="s">
        <v>85</v>
      </c>
      <c r="B65" s="4" t="s">
        <v>15</v>
      </c>
      <c r="C65" s="4" t="s">
        <v>16</v>
      </c>
      <c r="D65" s="3" t="s">
        <v>17</v>
      </c>
      <c r="E65" s="4">
        <v>18050</v>
      </c>
      <c r="F65" s="5">
        <f>E65*52%</f>
        <v>9386</v>
      </c>
      <c r="G65" s="6">
        <f>IF(D65="A",E65*25%,IF(D65="B",E65*15%,E65*10%))</f>
        <v>4512.5</v>
      </c>
      <c r="H65" s="5">
        <f>E65*8%</f>
        <v>1444</v>
      </c>
      <c r="I65" s="7">
        <f>SUM(E65:H65)</f>
        <v>33392.5</v>
      </c>
      <c r="J65" s="8">
        <f>E65*12.5%</f>
        <v>2256.25</v>
      </c>
      <c r="K65" s="5">
        <f>IF(I65&lt;=10000,100,IF(AND(I65&gt;10000,I65&lt;20000),200,300))</f>
        <v>300</v>
      </c>
      <c r="L65" s="9">
        <v>500</v>
      </c>
      <c r="M65" s="10">
        <f>SUM(J65:L65)</f>
        <v>3056.25</v>
      </c>
      <c r="N65" s="11">
        <f>I65-M65</f>
        <v>30336.25</v>
      </c>
    </row>
    <row r="66" spans="1:14" x14ac:dyDescent="0.25">
      <c r="A66" s="3" t="s">
        <v>86</v>
      </c>
      <c r="B66" s="4" t="s">
        <v>19</v>
      </c>
      <c r="C66" s="4" t="s">
        <v>20</v>
      </c>
      <c r="D66" s="3" t="s">
        <v>21</v>
      </c>
      <c r="E66" s="4">
        <v>3500</v>
      </c>
      <c r="F66" s="5">
        <f t="shared" ref="F66:F67" si="168">E66*52%</f>
        <v>1820</v>
      </c>
      <c r="G66" s="6">
        <f t="shared" ref="G66:G67" si="169">IF(D66="A",E66*25%,IF(D66="B",E66*15%,E66*10%))</f>
        <v>525</v>
      </c>
      <c r="H66" s="5">
        <f t="shared" ref="H66:H67" si="170">E66*8%</f>
        <v>280</v>
      </c>
      <c r="I66" s="7">
        <f t="shared" ref="I66:I67" si="171">SUM(E66:H66)</f>
        <v>6125</v>
      </c>
      <c r="J66" s="8">
        <f t="shared" ref="J66:J67" si="172">E66*12.5%</f>
        <v>437.5</v>
      </c>
      <c r="K66" s="5">
        <f t="shared" ref="K66:K67" si="173">IF(I66&lt;=10000,100,IF(AND(I66&gt;10000,I66&lt;20000),200,300))</f>
        <v>100</v>
      </c>
      <c r="L66" s="4">
        <v>200</v>
      </c>
      <c r="M66" s="10">
        <f t="shared" ref="M66:M67" si="174">SUM(J66:L66)</f>
        <v>737.5</v>
      </c>
      <c r="N66" s="11">
        <f t="shared" ref="N66:N67" si="175">I66-M66</f>
        <v>5387.5</v>
      </c>
    </row>
    <row r="67" spans="1:14" x14ac:dyDescent="0.25">
      <c r="A67" s="3" t="s">
        <v>87</v>
      </c>
      <c r="B67" s="4" t="s">
        <v>23</v>
      </c>
      <c r="C67" s="4" t="s">
        <v>24</v>
      </c>
      <c r="D67" s="3" t="s">
        <v>17</v>
      </c>
      <c r="E67" s="4">
        <v>7500</v>
      </c>
      <c r="F67" s="5">
        <f t="shared" si="168"/>
        <v>3900</v>
      </c>
      <c r="G67" s="6">
        <f t="shared" si="169"/>
        <v>1875</v>
      </c>
      <c r="H67" s="5">
        <f t="shared" si="170"/>
        <v>600</v>
      </c>
      <c r="I67" s="7">
        <f t="shared" si="171"/>
        <v>13875</v>
      </c>
      <c r="J67" s="8">
        <f t="shared" si="172"/>
        <v>937.5</v>
      </c>
      <c r="K67" s="5">
        <f t="shared" si="173"/>
        <v>200</v>
      </c>
      <c r="L67" s="4">
        <v>3500</v>
      </c>
      <c r="M67" s="10">
        <f t="shared" si="174"/>
        <v>4637.5</v>
      </c>
      <c r="N67" s="11">
        <f t="shared" si="175"/>
        <v>9237.5</v>
      </c>
    </row>
    <row r="68" spans="1:14" x14ac:dyDescent="0.25">
      <c r="A68" s="3" t="s">
        <v>88</v>
      </c>
      <c r="B68" s="4" t="s">
        <v>15</v>
      </c>
      <c r="C68" s="4" t="s">
        <v>16</v>
      </c>
      <c r="D68" s="3" t="s">
        <v>17</v>
      </c>
      <c r="E68" s="4">
        <v>18050</v>
      </c>
      <c r="F68" s="5">
        <f>E68*52%</f>
        <v>9386</v>
      </c>
      <c r="G68" s="6">
        <f>IF(D68="A",E68*25%,IF(D68="B",E68*15%,E68*10%))</f>
        <v>4512.5</v>
      </c>
      <c r="H68" s="5">
        <f>E68*8%</f>
        <v>1444</v>
      </c>
      <c r="I68" s="7">
        <f>SUM(E68:H68)</f>
        <v>33392.5</v>
      </c>
      <c r="J68" s="8">
        <f>E68*12.5%</f>
        <v>2256.25</v>
      </c>
      <c r="K68" s="5">
        <f>IF(I68&lt;=10000,100,IF(AND(I68&gt;10000,I68&lt;20000),200,300))</f>
        <v>300</v>
      </c>
      <c r="L68" s="9">
        <v>500</v>
      </c>
      <c r="M68" s="10">
        <f>SUM(J68:L68)</f>
        <v>3056.25</v>
      </c>
      <c r="N68" s="11">
        <f>I68-M68</f>
        <v>30336.25</v>
      </c>
    </row>
    <row r="69" spans="1:14" x14ac:dyDescent="0.25">
      <c r="A69" s="3" t="s">
        <v>89</v>
      </c>
      <c r="B69" s="4" t="s">
        <v>19</v>
      </c>
      <c r="C69" s="4" t="s">
        <v>20</v>
      </c>
      <c r="D69" s="3" t="s">
        <v>21</v>
      </c>
      <c r="E69" s="4">
        <v>3500</v>
      </c>
      <c r="F69" s="5">
        <f t="shared" ref="F69:F70" si="176">E69*52%</f>
        <v>1820</v>
      </c>
      <c r="G69" s="6">
        <f t="shared" ref="G69:G70" si="177">IF(D69="A",E69*25%,IF(D69="B",E69*15%,E69*10%))</f>
        <v>525</v>
      </c>
      <c r="H69" s="5">
        <f t="shared" ref="H69:H70" si="178">E69*8%</f>
        <v>280</v>
      </c>
      <c r="I69" s="7">
        <f t="shared" ref="I69:I70" si="179">SUM(E69:H69)</f>
        <v>6125</v>
      </c>
      <c r="J69" s="8">
        <f t="shared" ref="J69:J70" si="180">E69*12.5%</f>
        <v>437.5</v>
      </c>
      <c r="K69" s="5">
        <f t="shared" ref="K69:K70" si="181">IF(I69&lt;=10000,100,IF(AND(I69&gt;10000,I69&lt;20000),200,300))</f>
        <v>100</v>
      </c>
      <c r="L69" s="4">
        <v>200</v>
      </c>
      <c r="M69" s="10">
        <f t="shared" ref="M69:M70" si="182">SUM(J69:L69)</f>
        <v>737.5</v>
      </c>
      <c r="N69" s="11">
        <f t="shared" ref="N69:N70" si="183">I69-M69</f>
        <v>5387.5</v>
      </c>
    </row>
    <row r="70" spans="1:14" x14ac:dyDescent="0.25">
      <c r="A70" s="3" t="s">
        <v>90</v>
      </c>
      <c r="B70" s="4" t="s">
        <v>23</v>
      </c>
      <c r="C70" s="4" t="s">
        <v>24</v>
      </c>
      <c r="D70" s="3" t="s">
        <v>17</v>
      </c>
      <c r="E70" s="4">
        <v>7500</v>
      </c>
      <c r="F70" s="5">
        <f t="shared" si="176"/>
        <v>3900</v>
      </c>
      <c r="G70" s="6">
        <f t="shared" si="177"/>
        <v>1875</v>
      </c>
      <c r="H70" s="5">
        <f t="shared" si="178"/>
        <v>600</v>
      </c>
      <c r="I70" s="7">
        <f t="shared" si="179"/>
        <v>13875</v>
      </c>
      <c r="J70" s="8">
        <f t="shared" si="180"/>
        <v>937.5</v>
      </c>
      <c r="K70" s="5">
        <f t="shared" si="181"/>
        <v>200</v>
      </c>
      <c r="L70" s="4">
        <v>3500</v>
      </c>
      <c r="M70" s="10">
        <f t="shared" si="182"/>
        <v>4637.5</v>
      </c>
      <c r="N70" s="11">
        <f t="shared" si="183"/>
        <v>9237.5</v>
      </c>
    </row>
    <row r="71" spans="1:14" x14ac:dyDescent="0.25">
      <c r="A71" s="3" t="s">
        <v>91</v>
      </c>
      <c r="B71" s="4" t="s">
        <v>15</v>
      </c>
      <c r="C71" s="4" t="s">
        <v>16</v>
      </c>
      <c r="D71" s="3" t="s">
        <v>17</v>
      </c>
      <c r="E71" s="4">
        <v>18050</v>
      </c>
      <c r="F71" s="5">
        <f>E71*52%</f>
        <v>9386</v>
      </c>
      <c r="G71" s="6">
        <f>IF(D71="A",E71*25%,IF(D71="B",E71*15%,E71*10%))</f>
        <v>4512.5</v>
      </c>
      <c r="H71" s="5">
        <f>E71*8%</f>
        <v>1444</v>
      </c>
      <c r="I71" s="7">
        <f>SUM(E71:H71)</f>
        <v>33392.5</v>
      </c>
      <c r="J71" s="8">
        <f>E71*12.5%</f>
        <v>2256.25</v>
      </c>
      <c r="K71" s="5">
        <f>IF(I71&lt;=10000,100,IF(AND(I71&gt;10000,I71&lt;20000),200,300))</f>
        <v>300</v>
      </c>
      <c r="L71" s="9">
        <v>500</v>
      </c>
      <c r="M71" s="10">
        <f>SUM(J71:L71)</f>
        <v>3056.25</v>
      </c>
      <c r="N71" s="11">
        <f>I71-M71</f>
        <v>30336.25</v>
      </c>
    </row>
    <row r="72" spans="1:14" x14ac:dyDescent="0.25">
      <c r="A72" s="3" t="s">
        <v>92</v>
      </c>
      <c r="B72" s="4" t="s">
        <v>19</v>
      </c>
      <c r="C72" s="4" t="s">
        <v>20</v>
      </c>
      <c r="D72" s="3" t="s">
        <v>21</v>
      </c>
      <c r="E72" s="4">
        <v>3500</v>
      </c>
      <c r="F72" s="5">
        <f t="shared" ref="F72:F73" si="184">E72*52%</f>
        <v>1820</v>
      </c>
      <c r="G72" s="6">
        <f t="shared" ref="G72:G73" si="185">IF(D72="A",E72*25%,IF(D72="B",E72*15%,E72*10%))</f>
        <v>525</v>
      </c>
      <c r="H72" s="5">
        <f t="shared" ref="H72:H73" si="186">E72*8%</f>
        <v>280</v>
      </c>
      <c r="I72" s="7">
        <f t="shared" ref="I72:I73" si="187">SUM(E72:H72)</f>
        <v>6125</v>
      </c>
      <c r="J72" s="8">
        <f t="shared" ref="J72:J73" si="188">E72*12.5%</f>
        <v>437.5</v>
      </c>
      <c r="K72" s="5">
        <f t="shared" ref="K72:K73" si="189">IF(I72&lt;=10000,100,IF(AND(I72&gt;10000,I72&lt;20000),200,300))</f>
        <v>100</v>
      </c>
      <c r="L72" s="4">
        <v>200</v>
      </c>
      <c r="M72" s="10">
        <f t="shared" ref="M72:M73" si="190">SUM(J72:L72)</f>
        <v>737.5</v>
      </c>
      <c r="N72" s="11">
        <f t="shared" ref="N72:N73" si="191">I72-M72</f>
        <v>5387.5</v>
      </c>
    </row>
    <row r="73" spans="1:14" x14ac:dyDescent="0.25">
      <c r="A73" s="3" t="s">
        <v>93</v>
      </c>
      <c r="B73" s="4" t="s">
        <v>23</v>
      </c>
      <c r="C73" s="4" t="s">
        <v>24</v>
      </c>
      <c r="D73" s="3" t="s">
        <v>17</v>
      </c>
      <c r="E73" s="4">
        <v>7500</v>
      </c>
      <c r="F73" s="5">
        <f t="shared" si="184"/>
        <v>3900</v>
      </c>
      <c r="G73" s="6">
        <f t="shared" si="185"/>
        <v>1875</v>
      </c>
      <c r="H73" s="5">
        <f t="shared" si="186"/>
        <v>600</v>
      </c>
      <c r="I73" s="7">
        <f t="shared" si="187"/>
        <v>13875</v>
      </c>
      <c r="J73" s="8">
        <f t="shared" si="188"/>
        <v>937.5</v>
      </c>
      <c r="K73" s="5">
        <f t="shared" si="189"/>
        <v>200</v>
      </c>
      <c r="L73" s="4">
        <v>3500</v>
      </c>
      <c r="M73" s="10">
        <f t="shared" si="190"/>
        <v>4637.5</v>
      </c>
      <c r="N73" s="11">
        <f t="shared" si="191"/>
        <v>9237.5</v>
      </c>
    </row>
    <row r="74" spans="1:14" x14ac:dyDescent="0.25">
      <c r="A74" s="3" t="s">
        <v>94</v>
      </c>
      <c r="B74" s="4" t="s">
        <v>15</v>
      </c>
      <c r="C74" s="4" t="s">
        <v>16</v>
      </c>
      <c r="D74" s="3" t="s">
        <v>17</v>
      </c>
      <c r="E74" s="4">
        <v>18050</v>
      </c>
      <c r="F74" s="5">
        <f>E74*52%</f>
        <v>9386</v>
      </c>
      <c r="G74" s="6">
        <f>IF(D74="A",E74*25%,IF(D74="B",E74*15%,E74*10%))</f>
        <v>4512.5</v>
      </c>
      <c r="H74" s="5">
        <f>E74*8%</f>
        <v>1444</v>
      </c>
      <c r="I74" s="7">
        <f>SUM(E74:H74)</f>
        <v>33392.5</v>
      </c>
      <c r="J74" s="8">
        <f>E74*12.5%</f>
        <v>2256.25</v>
      </c>
      <c r="K74" s="5">
        <f>IF(I74&lt;=10000,100,IF(AND(I74&gt;10000,I74&lt;20000),200,300))</f>
        <v>300</v>
      </c>
      <c r="L74" s="9">
        <v>500</v>
      </c>
      <c r="M74" s="10">
        <f>SUM(J74:L74)</f>
        <v>3056.25</v>
      </c>
      <c r="N74" s="11">
        <f>I74-M74</f>
        <v>30336.25</v>
      </c>
    </row>
    <row r="75" spans="1:14" x14ac:dyDescent="0.25">
      <c r="A75" s="3" t="s">
        <v>95</v>
      </c>
      <c r="B75" s="4" t="s">
        <v>19</v>
      </c>
      <c r="C75" s="4" t="s">
        <v>20</v>
      </c>
      <c r="D75" s="3" t="s">
        <v>21</v>
      </c>
      <c r="E75" s="4">
        <v>3500</v>
      </c>
      <c r="F75" s="5">
        <f t="shared" ref="F75:F76" si="192">E75*52%</f>
        <v>1820</v>
      </c>
      <c r="G75" s="6">
        <f t="shared" ref="G75:G76" si="193">IF(D75="A",E75*25%,IF(D75="B",E75*15%,E75*10%))</f>
        <v>525</v>
      </c>
      <c r="H75" s="5">
        <f t="shared" ref="H75:H76" si="194">E75*8%</f>
        <v>280</v>
      </c>
      <c r="I75" s="7">
        <f t="shared" ref="I75:I76" si="195">SUM(E75:H75)</f>
        <v>6125</v>
      </c>
      <c r="J75" s="8">
        <f t="shared" ref="J75:J76" si="196">E75*12.5%</f>
        <v>437.5</v>
      </c>
      <c r="K75" s="5">
        <f t="shared" ref="K75:K76" si="197">IF(I75&lt;=10000,100,IF(AND(I75&gt;10000,I75&lt;20000),200,300))</f>
        <v>100</v>
      </c>
      <c r="L75" s="4">
        <v>200</v>
      </c>
      <c r="M75" s="10">
        <f t="shared" ref="M75:M76" si="198">SUM(J75:L75)</f>
        <v>737.5</v>
      </c>
      <c r="N75" s="11">
        <f t="shared" ref="N75:N76" si="199">I75-M75</f>
        <v>5387.5</v>
      </c>
    </row>
    <row r="76" spans="1:14" x14ac:dyDescent="0.25">
      <c r="A76" s="3" t="s">
        <v>96</v>
      </c>
      <c r="B76" s="4" t="s">
        <v>23</v>
      </c>
      <c r="C76" s="4" t="s">
        <v>24</v>
      </c>
      <c r="D76" s="3" t="s">
        <v>17</v>
      </c>
      <c r="E76" s="4">
        <v>7500</v>
      </c>
      <c r="F76" s="5">
        <f t="shared" si="192"/>
        <v>3900</v>
      </c>
      <c r="G76" s="6">
        <f t="shared" si="193"/>
        <v>1875</v>
      </c>
      <c r="H76" s="5">
        <f t="shared" si="194"/>
        <v>600</v>
      </c>
      <c r="I76" s="7">
        <f t="shared" si="195"/>
        <v>13875</v>
      </c>
      <c r="J76" s="8">
        <f t="shared" si="196"/>
        <v>937.5</v>
      </c>
      <c r="K76" s="5">
        <f t="shared" si="197"/>
        <v>200</v>
      </c>
      <c r="L76" s="4">
        <v>3500</v>
      </c>
      <c r="M76" s="10">
        <f t="shared" si="198"/>
        <v>4637.5</v>
      </c>
      <c r="N76" s="11">
        <f t="shared" si="199"/>
        <v>9237.5</v>
      </c>
    </row>
    <row r="77" spans="1:14" x14ac:dyDescent="0.25">
      <c r="A77" s="3" t="s">
        <v>97</v>
      </c>
      <c r="B77" s="4" t="s">
        <v>15</v>
      </c>
      <c r="C77" s="4" t="s">
        <v>16</v>
      </c>
      <c r="D77" s="3" t="s">
        <v>17</v>
      </c>
      <c r="E77" s="4">
        <v>18050</v>
      </c>
      <c r="F77" s="5">
        <f>E77*52%</f>
        <v>9386</v>
      </c>
      <c r="G77" s="6">
        <f>IF(D77="A",E77*25%,IF(D77="B",E77*15%,E77*10%))</f>
        <v>4512.5</v>
      </c>
      <c r="H77" s="5">
        <f>E77*8%</f>
        <v>1444</v>
      </c>
      <c r="I77" s="7">
        <f>SUM(E77:H77)</f>
        <v>33392.5</v>
      </c>
      <c r="J77" s="8">
        <f>E77*12.5%</f>
        <v>2256.25</v>
      </c>
      <c r="K77" s="5">
        <f>IF(I77&lt;=10000,100,IF(AND(I77&gt;10000,I77&lt;20000),200,300))</f>
        <v>300</v>
      </c>
      <c r="L77" s="9">
        <v>500</v>
      </c>
      <c r="M77" s="10">
        <f>SUM(J77:L77)</f>
        <v>3056.25</v>
      </c>
      <c r="N77" s="11">
        <f>I77-M77</f>
        <v>30336.25</v>
      </c>
    </row>
    <row r="78" spans="1:14" x14ac:dyDescent="0.25">
      <c r="A78" s="3" t="s">
        <v>98</v>
      </c>
      <c r="B78" s="4" t="s">
        <v>19</v>
      </c>
      <c r="C78" s="4" t="s">
        <v>20</v>
      </c>
      <c r="D78" s="3" t="s">
        <v>21</v>
      </c>
      <c r="E78" s="4">
        <v>3500</v>
      </c>
      <c r="F78" s="5">
        <f t="shared" ref="F78:F79" si="200">E78*52%</f>
        <v>1820</v>
      </c>
      <c r="G78" s="6">
        <f t="shared" ref="G78:G79" si="201">IF(D78="A",E78*25%,IF(D78="B",E78*15%,E78*10%))</f>
        <v>525</v>
      </c>
      <c r="H78" s="5">
        <f t="shared" ref="H78:H79" si="202">E78*8%</f>
        <v>280</v>
      </c>
      <c r="I78" s="7">
        <f t="shared" ref="I78:I79" si="203">SUM(E78:H78)</f>
        <v>6125</v>
      </c>
      <c r="J78" s="8">
        <f t="shared" ref="J78:J79" si="204">E78*12.5%</f>
        <v>437.5</v>
      </c>
      <c r="K78" s="5">
        <f t="shared" ref="K78:K79" si="205">IF(I78&lt;=10000,100,IF(AND(I78&gt;10000,I78&lt;20000),200,300))</f>
        <v>100</v>
      </c>
      <c r="L78" s="4">
        <v>200</v>
      </c>
      <c r="M78" s="10">
        <f t="shared" ref="M78:M79" si="206">SUM(J78:L78)</f>
        <v>737.5</v>
      </c>
      <c r="N78" s="11">
        <f t="shared" ref="N78:N79" si="207">I78-M78</f>
        <v>5387.5</v>
      </c>
    </row>
    <row r="79" spans="1:14" x14ac:dyDescent="0.25">
      <c r="A79" s="3" t="s">
        <v>99</v>
      </c>
      <c r="B79" s="4" t="s">
        <v>23</v>
      </c>
      <c r="C79" s="4" t="s">
        <v>24</v>
      </c>
      <c r="D79" s="3" t="s">
        <v>17</v>
      </c>
      <c r="E79" s="4">
        <v>7500</v>
      </c>
      <c r="F79" s="5">
        <f t="shared" si="200"/>
        <v>3900</v>
      </c>
      <c r="G79" s="6">
        <f t="shared" si="201"/>
        <v>1875</v>
      </c>
      <c r="H79" s="5">
        <f t="shared" si="202"/>
        <v>600</v>
      </c>
      <c r="I79" s="7">
        <f t="shared" si="203"/>
        <v>13875</v>
      </c>
      <c r="J79" s="8">
        <f t="shared" si="204"/>
        <v>937.5</v>
      </c>
      <c r="K79" s="5">
        <f t="shared" si="205"/>
        <v>200</v>
      </c>
      <c r="L79" s="4">
        <v>3500</v>
      </c>
      <c r="M79" s="10">
        <f t="shared" si="206"/>
        <v>4637.5</v>
      </c>
      <c r="N79" s="11">
        <f t="shared" si="207"/>
        <v>9237.5</v>
      </c>
    </row>
    <row r="80" spans="1:14" x14ac:dyDescent="0.25">
      <c r="A80" s="3" t="s">
        <v>100</v>
      </c>
      <c r="B80" s="4" t="s">
        <v>15</v>
      </c>
      <c r="C80" s="4" t="s">
        <v>16</v>
      </c>
      <c r="D80" s="3" t="s">
        <v>17</v>
      </c>
      <c r="E80" s="4">
        <v>18050</v>
      </c>
      <c r="F80" s="5">
        <f>E80*52%</f>
        <v>9386</v>
      </c>
      <c r="G80" s="6">
        <f>IF(D80="A",E80*25%,IF(D80="B",E80*15%,E80*10%))</f>
        <v>4512.5</v>
      </c>
      <c r="H80" s="5">
        <f>E80*8%</f>
        <v>1444</v>
      </c>
      <c r="I80" s="7">
        <f>SUM(E80:H80)</f>
        <v>33392.5</v>
      </c>
      <c r="J80" s="8">
        <f>E80*12.5%</f>
        <v>2256.25</v>
      </c>
      <c r="K80" s="5">
        <f>IF(I80&lt;=10000,100,IF(AND(I80&gt;10000,I80&lt;20000),200,300))</f>
        <v>300</v>
      </c>
      <c r="L80" s="9">
        <v>500</v>
      </c>
      <c r="M80" s="10">
        <f>SUM(J80:L80)</f>
        <v>3056.25</v>
      </c>
      <c r="N80" s="11">
        <f>I80-M80</f>
        <v>30336.25</v>
      </c>
    </row>
    <row r="81" spans="1:14" x14ac:dyDescent="0.25">
      <c r="A81" s="3" t="s">
        <v>101</v>
      </c>
      <c r="B81" s="4" t="s">
        <v>19</v>
      </c>
      <c r="C81" s="4" t="s">
        <v>20</v>
      </c>
      <c r="D81" s="3" t="s">
        <v>21</v>
      </c>
      <c r="E81" s="4">
        <v>3500</v>
      </c>
      <c r="F81" s="5">
        <f t="shared" ref="F81:F82" si="208">E81*52%</f>
        <v>1820</v>
      </c>
      <c r="G81" s="6">
        <f t="shared" ref="G81:G82" si="209">IF(D81="A",E81*25%,IF(D81="B",E81*15%,E81*10%))</f>
        <v>525</v>
      </c>
      <c r="H81" s="5">
        <f t="shared" ref="H81:H82" si="210">E81*8%</f>
        <v>280</v>
      </c>
      <c r="I81" s="7">
        <f t="shared" ref="I81:I82" si="211">SUM(E81:H81)</f>
        <v>6125</v>
      </c>
      <c r="J81" s="8">
        <f t="shared" ref="J81:J82" si="212">E81*12.5%</f>
        <v>437.5</v>
      </c>
      <c r="K81" s="5">
        <f t="shared" ref="K81:K82" si="213">IF(I81&lt;=10000,100,IF(AND(I81&gt;10000,I81&lt;20000),200,300))</f>
        <v>100</v>
      </c>
      <c r="L81" s="4">
        <v>200</v>
      </c>
      <c r="M81" s="10">
        <f t="shared" ref="M81:M82" si="214">SUM(J81:L81)</f>
        <v>737.5</v>
      </c>
      <c r="N81" s="11">
        <f t="shared" ref="N81:N82" si="215">I81-M81</f>
        <v>5387.5</v>
      </c>
    </row>
    <row r="82" spans="1:14" x14ac:dyDescent="0.25">
      <c r="A82" s="3" t="s">
        <v>102</v>
      </c>
      <c r="B82" s="4" t="s">
        <v>23</v>
      </c>
      <c r="C82" s="4" t="s">
        <v>24</v>
      </c>
      <c r="D82" s="3" t="s">
        <v>17</v>
      </c>
      <c r="E82" s="4">
        <v>7500</v>
      </c>
      <c r="F82" s="5">
        <f t="shared" si="208"/>
        <v>3900</v>
      </c>
      <c r="G82" s="6">
        <f t="shared" si="209"/>
        <v>1875</v>
      </c>
      <c r="H82" s="5">
        <f t="shared" si="210"/>
        <v>600</v>
      </c>
      <c r="I82" s="7">
        <f t="shared" si="211"/>
        <v>13875</v>
      </c>
      <c r="J82" s="8">
        <f t="shared" si="212"/>
        <v>937.5</v>
      </c>
      <c r="K82" s="5">
        <f t="shared" si="213"/>
        <v>200</v>
      </c>
      <c r="L82" s="4">
        <v>3500</v>
      </c>
      <c r="M82" s="10">
        <f t="shared" si="214"/>
        <v>4637.5</v>
      </c>
      <c r="N82" s="11">
        <f t="shared" si="215"/>
        <v>9237.5</v>
      </c>
    </row>
    <row r="83" spans="1:14" x14ac:dyDescent="0.25">
      <c r="A83" s="3" t="s">
        <v>103</v>
      </c>
      <c r="B83" s="4" t="s">
        <v>15</v>
      </c>
      <c r="C83" s="4" t="s">
        <v>16</v>
      </c>
      <c r="D83" s="3" t="s">
        <v>17</v>
      </c>
      <c r="E83" s="4">
        <v>18050</v>
      </c>
      <c r="F83" s="5">
        <f>E83*52%</f>
        <v>9386</v>
      </c>
      <c r="G83" s="6">
        <f>IF(D83="A",E83*25%,IF(D83="B",E83*15%,E83*10%))</f>
        <v>4512.5</v>
      </c>
      <c r="H83" s="5">
        <f>E83*8%</f>
        <v>1444</v>
      </c>
      <c r="I83" s="7">
        <f>SUM(E83:H83)</f>
        <v>33392.5</v>
      </c>
      <c r="J83" s="8">
        <f>E83*12.5%</f>
        <v>2256.25</v>
      </c>
      <c r="K83" s="5">
        <f>IF(I83&lt;=10000,100,IF(AND(I83&gt;10000,I83&lt;20000),200,300))</f>
        <v>300</v>
      </c>
      <c r="L83" s="9">
        <v>500</v>
      </c>
      <c r="M83" s="10">
        <f>SUM(J83:L83)</f>
        <v>3056.25</v>
      </c>
      <c r="N83" s="11">
        <f>I83-M83</f>
        <v>30336.25</v>
      </c>
    </row>
    <row r="84" spans="1:14" x14ac:dyDescent="0.25">
      <c r="A84" s="3" t="s">
        <v>104</v>
      </c>
      <c r="B84" s="4" t="s">
        <v>19</v>
      </c>
      <c r="C84" s="4" t="s">
        <v>20</v>
      </c>
      <c r="D84" s="3" t="s">
        <v>21</v>
      </c>
      <c r="E84" s="4">
        <v>3500</v>
      </c>
      <c r="F84" s="5">
        <f t="shared" ref="F84:F85" si="216">E84*52%</f>
        <v>1820</v>
      </c>
      <c r="G84" s="6">
        <f t="shared" ref="G84:G85" si="217">IF(D84="A",E84*25%,IF(D84="B",E84*15%,E84*10%))</f>
        <v>525</v>
      </c>
      <c r="H84" s="5">
        <f t="shared" ref="H84:H85" si="218">E84*8%</f>
        <v>280</v>
      </c>
      <c r="I84" s="7">
        <f t="shared" ref="I84:I85" si="219">SUM(E84:H84)</f>
        <v>6125</v>
      </c>
      <c r="J84" s="8">
        <f t="shared" ref="J84:J85" si="220">E84*12.5%</f>
        <v>437.5</v>
      </c>
      <c r="K84" s="5">
        <f t="shared" ref="K84:K85" si="221">IF(I84&lt;=10000,100,IF(AND(I84&gt;10000,I84&lt;20000),200,300))</f>
        <v>100</v>
      </c>
      <c r="L84" s="4">
        <v>200</v>
      </c>
      <c r="M84" s="10">
        <f t="shared" ref="M84:M85" si="222">SUM(J84:L84)</f>
        <v>737.5</v>
      </c>
      <c r="N84" s="11">
        <f t="shared" ref="N84:N85" si="223">I84-M84</f>
        <v>5387.5</v>
      </c>
    </row>
    <row r="85" spans="1:14" x14ac:dyDescent="0.25">
      <c r="A85" s="3" t="s">
        <v>105</v>
      </c>
      <c r="B85" s="4" t="s">
        <v>23</v>
      </c>
      <c r="C85" s="4" t="s">
        <v>24</v>
      </c>
      <c r="D85" s="3" t="s">
        <v>17</v>
      </c>
      <c r="E85" s="4">
        <v>7500</v>
      </c>
      <c r="F85" s="5">
        <f t="shared" si="216"/>
        <v>3900</v>
      </c>
      <c r="G85" s="6">
        <f t="shared" si="217"/>
        <v>1875</v>
      </c>
      <c r="H85" s="5">
        <f t="shared" si="218"/>
        <v>600</v>
      </c>
      <c r="I85" s="7">
        <f t="shared" si="219"/>
        <v>13875</v>
      </c>
      <c r="J85" s="8">
        <f t="shared" si="220"/>
        <v>937.5</v>
      </c>
      <c r="K85" s="5">
        <f t="shared" si="221"/>
        <v>200</v>
      </c>
      <c r="L85" s="4">
        <v>3500</v>
      </c>
      <c r="M85" s="10">
        <f t="shared" si="222"/>
        <v>4637.5</v>
      </c>
      <c r="N85" s="11">
        <f t="shared" si="223"/>
        <v>9237.5</v>
      </c>
    </row>
    <row r="86" spans="1:14" x14ac:dyDescent="0.25">
      <c r="A86" s="3" t="s">
        <v>106</v>
      </c>
      <c r="B86" s="4" t="s">
        <v>15</v>
      </c>
      <c r="C86" s="4" t="s">
        <v>16</v>
      </c>
      <c r="D86" s="3" t="s">
        <v>17</v>
      </c>
      <c r="E86" s="4">
        <v>18050</v>
      </c>
      <c r="F86" s="5">
        <f>E86*52%</f>
        <v>9386</v>
      </c>
      <c r="G86" s="6">
        <f>IF(D86="A",E86*25%,IF(D86="B",E86*15%,E86*10%))</f>
        <v>4512.5</v>
      </c>
      <c r="H86" s="5">
        <f>E86*8%</f>
        <v>1444</v>
      </c>
      <c r="I86" s="7">
        <f>SUM(E86:H86)</f>
        <v>33392.5</v>
      </c>
      <c r="J86" s="8">
        <f>E86*12.5%</f>
        <v>2256.25</v>
      </c>
      <c r="K86" s="5">
        <f>IF(I86&lt;=10000,100,IF(AND(I86&gt;10000,I86&lt;20000),200,300))</f>
        <v>300</v>
      </c>
      <c r="L86" s="9">
        <v>500</v>
      </c>
      <c r="M86" s="10">
        <f>SUM(J86:L86)</f>
        <v>3056.25</v>
      </c>
      <c r="N86" s="11">
        <f>I86-M86</f>
        <v>30336.25</v>
      </c>
    </row>
    <row r="87" spans="1:14" x14ac:dyDescent="0.25">
      <c r="A87" s="3" t="s">
        <v>107</v>
      </c>
      <c r="B87" s="4" t="s">
        <v>19</v>
      </c>
      <c r="C87" s="4" t="s">
        <v>20</v>
      </c>
      <c r="D87" s="3" t="s">
        <v>21</v>
      </c>
      <c r="E87" s="4">
        <v>3500</v>
      </c>
      <c r="F87" s="5">
        <f t="shared" ref="F87:F88" si="224">E87*52%</f>
        <v>1820</v>
      </c>
      <c r="G87" s="6">
        <f t="shared" ref="G87:G88" si="225">IF(D87="A",E87*25%,IF(D87="B",E87*15%,E87*10%))</f>
        <v>525</v>
      </c>
      <c r="H87" s="5">
        <f t="shared" ref="H87:H88" si="226">E87*8%</f>
        <v>280</v>
      </c>
      <c r="I87" s="7">
        <f t="shared" ref="I87:I88" si="227">SUM(E87:H87)</f>
        <v>6125</v>
      </c>
      <c r="J87" s="8">
        <f t="shared" ref="J87:J88" si="228">E87*12.5%</f>
        <v>437.5</v>
      </c>
      <c r="K87" s="5">
        <f t="shared" ref="K87:K88" si="229">IF(I87&lt;=10000,100,IF(AND(I87&gt;10000,I87&lt;20000),200,300))</f>
        <v>100</v>
      </c>
      <c r="L87" s="4">
        <v>200</v>
      </c>
      <c r="M87" s="10">
        <f t="shared" ref="M87:M88" si="230">SUM(J87:L87)</f>
        <v>737.5</v>
      </c>
      <c r="N87" s="11">
        <f t="shared" ref="N87:N88" si="231">I87-M87</f>
        <v>5387.5</v>
      </c>
    </row>
    <row r="88" spans="1:14" x14ac:dyDescent="0.25">
      <c r="A88" s="3" t="s">
        <v>108</v>
      </c>
      <c r="B88" s="4" t="s">
        <v>23</v>
      </c>
      <c r="C88" s="4" t="s">
        <v>24</v>
      </c>
      <c r="D88" s="3" t="s">
        <v>17</v>
      </c>
      <c r="E88" s="4">
        <v>7500</v>
      </c>
      <c r="F88" s="5">
        <f t="shared" si="224"/>
        <v>3900</v>
      </c>
      <c r="G88" s="6">
        <f t="shared" si="225"/>
        <v>1875</v>
      </c>
      <c r="H88" s="5">
        <f t="shared" si="226"/>
        <v>600</v>
      </c>
      <c r="I88" s="7">
        <f t="shared" si="227"/>
        <v>13875</v>
      </c>
      <c r="J88" s="8">
        <f t="shared" si="228"/>
        <v>937.5</v>
      </c>
      <c r="K88" s="5">
        <f t="shared" si="229"/>
        <v>200</v>
      </c>
      <c r="L88" s="4">
        <v>3500</v>
      </c>
      <c r="M88" s="10">
        <f t="shared" si="230"/>
        <v>4637.5</v>
      </c>
      <c r="N88" s="11">
        <f t="shared" si="231"/>
        <v>9237.5</v>
      </c>
    </row>
    <row r="89" spans="1:14" x14ac:dyDescent="0.25">
      <c r="A89" s="3" t="s">
        <v>109</v>
      </c>
      <c r="B89" s="4" t="s">
        <v>15</v>
      </c>
      <c r="C89" s="4" t="s">
        <v>16</v>
      </c>
      <c r="D89" s="3" t="s">
        <v>17</v>
      </c>
      <c r="E89" s="4">
        <v>18050</v>
      </c>
      <c r="F89" s="5">
        <f>E89*52%</f>
        <v>9386</v>
      </c>
      <c r="G89" s="6">
        <f>IF(D89="A",E89*25%,IF(D89="B",E89*15%,E89*10%))</f>
        <v>4512.5</v>
      </c>
      <c r="H89" s="5">
        <f>E89*8%</f>
        <v>1444</v>
      </c>
      <c r="I89" s="7">
        <f>SUM(E89:H89)</f>
        <v>33392.5</v>
      </c>
      <c r="J89" s="8">
        <f>E89*12.5%</f>
        <v>2256.25</v>
      </c>
      <c r="K89" s="5">
        <f>IF(I89&lt;=10000,100,IF(AND(I89&gt;10000,I89&lt;20000),200,300))</f>
        <v>300</v>
      </c>
      <c r="L89" s="9">
        <v>500</v>
      </c>
      <c r="M89" s="10">
        <f>SUM(J89:L89)</f>
        <v>3056.25</v>
      </c>
      <c r="N89" s="11">
        <f>I89-M89</f>
        <v>30336.25</v>
      </c>
    </row>
    <row r="90" spans="1:14" x14ac:dyDescent="0.25">
      <c r="A90" s="3" t="s">
        <v>110</v>
      </c>
      <c r="B90" s="4" t="s">
        <v>19</v>
      </c>
      <c r="C90" s="4" t="s">
        <v>20</v>
      </c>
      <c r="D90" s="3" t="s">
        <v>21</v>
      </c>
      <c r="E90" s="4">
        <v>3500</v>
      </c>
      <c r="F90" s="5">
        <f t="shared" ref="F90:F91" si="232">E90*52%</f>
        <v>1820</v>
      </c>
      <c r="G90" s="6">
        <f t="shared" ref="G90:G91" si="233">IF(D90="A",E90*25%,IF(D90="B",E90*15%,E90*10%))</f>
        <v>525</v>
      </c>
      <c r="H90" s="5">
        <f t="shared" ref="H90:H91" si="234">E90*8%</f>
        <v>280</v>
      </c>
      <c r="I90" s="7">
        <f t="shared" ref="I90:I91" si="235">SUM(E90:H90)</f>
        <v>6125</v>
      </c>
      <c r="J90" s="8">
        <f t="shared" ref="J90:J91" si="236">E90*12.5%</f>
        <v>437.5</v>
      </c>
      <c r="K90" s="5">
        <f t="shared" ref="K90:K91" si="237">IF(I90&lt;=10000,100,IF(AND(I90&gt;10000,I90&lt;20000),200,300))</f>
        <v>100</v>
      </c>
      <c r="L90" s="4">
        <v>200</v>
      </c>
      <c r="M90" s="10">
        <f t="shared" ref="M90:M91" si="238">SUM(J90:L90)</f>
        <v>737.5</v>
      </c>
      <c r="N90" s="11">
        <f t="shared" ref="N90:N91" si="239">I90-M90</f>
        <v>5387.5</v>
      </c>
    </row>
    <row r="91" spans="1:14" x14ac:dyDescent="0.25">
      <c r="A91" s="3" t="s">
        <v>111</v>
      </c>
      <c r="B91" s="4" t="s">
        <v>23</v>
      </c>
      <c r="C91" s="4" t="s">
        <v>24</v>
      </c>
      <c r="D91" s="3" t="s">
        <v>17</v>
      </c>
      <c r="E91" s="4">
        <v>7500</v>
      </c>
      <c r="F91" s="5">
        <f t="shared" si="232"/>
        <v>3900</v>
      </c>
      <c r="G91" s="6">
        <f t="shared" si="233"/>
        <v>1875</v>
      </c>
      <c r="H91" s="5">
        <f t="shared" si="234"/>
        <v>600</v>
      </c>
      <c r="I91" s="7">
        <f t="shared" si="235"/>
        <v>13875</v>
      </c>
      <c r="J91" s="8">
        <f t="shared" si="236"/>
        <v>937.5</v>
      </c>
      <c r="K91" s="5">
        <f t="shared" si="237"/>
        <v>200</v>
      </c>
      <c r="L91" s="4">
        <v>3500</v>
      </c>
      <c r="M91" s="10">
        <f t="shared" si="238"/>
        <v>4637.5</v>
      </c>
      <c r="N91" s="11">
        <f t="shared" si="239"/>
        <v>9237.5</v>
      </c>
    </row>
    <row r="92" spans="1:14" x14ac:dyDescent="0.25">
      <c r="A92" s="3" t="s">
        <v>112</v>
      </c>
      <c r="B92" s="4" t="s">
        <v>15</v>
      </c>
      <c r="C92" s="4" t="s">
        <v>16</v>
      </c>
      <c r="D92" s="3" t="s">
        <v>17</v>
      </c>
      <c r="E92" s="4">
        <v>18050</v>
      </c>
      <c r="F92" s="5">
        <f>E92*52%</f>
        <v>9386</v>
      </c>
      <c r="G92" s="6">
        <f>IF(D92="A",E92*25%,IF(D92="B",E92*15%,E92*10%))</f>
        <v>4512.5</v>
      </c>
      <c r="H92" s="5">
        <f>E92*8%</f>
        <v>1444</v>
      </c>
      <c r="I92" s="7">
        <f>SUM(E92:H92)</f>
        <v>33392.5</v>
      </c>
      <c r="J92" s="8">
        <f>E92*12.5%</f>
        <v>2256.25</v>
      </c>
      <c r="K92" s="5">
        <f>IF(I92&lt;=10000,100,IF(AND(I92&gt;10000,I92&lt;20000),200,300))</f>
        <v>300</v>
      </c>
      <c r="L92" s="9">
        <v>500</v>
      </c>
      <c r="M92" s="10">
        <f>SUM(J92:L92)</f>
        <v>3056.25</v>
      </c>
      <c r="N92" s="11">
        <f>I92-M92</f>
        <v>30336.25</v>
      </c>
    </row>
    <row r="93" spans="1:14" x14ac:dyDescent="0.25">
      <c r="A93" s="3" t="s">
        <v>113</v>
      </c>
      <c r="B93" s="4" t="s">
        <v>19</v>
      </c>
      <c r="C93" s="4" t="s">
        <v>20</v>
      </c>
      <c r="D93" s="3" t="s">
        <v>21</v>
      </c>
      <c r="E93" s="4">
        <v>3500</v>
      </c>
      <c r="F93" s="5">
        <f t="shared" ref="F93:F94" si="240">E93*52%</f>
        <v>1820</v>
      </c>
      <c r="G93" s="6">
        <f t="shared" ref="G93:G94" si="241">IF(D93="A",E93*25%,IF(D93="B",E93*15%,E93*10%))</f>
        <v>525</v>
      </c>
      <c r="H93" s="5">
        <f t="shared" ref="H93:H94" si="242">E93*8%</f>
        <v>280</v>
      </c>
      <c r="I93" s="7">
        <f t="shared" ref="I93:I94" si="243">SUM(E93:H93)</f>
        <v>6125</v>
      </c>
      <c r="J93" s="8">
        <f t="shared" ref="J93:J94" si="244">E93*12.5%</f>
        <v>437.5</v>
      </c>
      <c r="K93" s="5">
        <f t="shared" ref="K93:K94" si="245">IF(I93&lt;=10000,100,IF(AND(I93&gt;10000,I93&lt;20000),200,300))</f>
        <v>100</v>
      </c>
      <c r="L93" s="4">
        <v>200</v>
      </c>
      <c r="M93" s="10">
        <f t="shared" ref="M93:M94" si="246">SUM(J93:L93)</f>
        <v>737.5</v>
      </c>
      <c r="N93" s="11">
        <f t="shared" ref="N93:N94" si="247">I93-M93</f>
        <v>5387.5</v>
      </c>
    </row>
    <row r="94" spans="1:14" x14ac:dyDescent="0.25">
      <c r="A94" s="3" t="s">
        <v>114</v>
      </c>
      <c r="B94" s="4" t="s">
        <v>23</v>
      </c>
      <c r="C94" s="4" t="s">
        <v>24</v>
      </c>
      <c r="D94" s="3" t="s">
        <v>17</v>
      </c>
      <c r="E94" s="4">
        <v>7500</v>
      </c>
      <c r="F94" s="5">
        <f t="shared" si="240"/>
        <v>3900</v>
      </c>
      <c r="G94" s="6">
        <f t="shared" si="241"/>
        <v>1875</v>
      </c>
      <c r="H94" s="5">
        <f t="shared" si="242"/>
        <v>600</v>
      </c>
      <c r="I94" s="7">
        <f t="shared" si="243"/>
        <v>13875</v>
      </c>
      <c r="J94" s="8">
        <f t="shared" si="244"/>
        <v>937.5</v>
      </c>
      <c r="K94" s="5">
        <f t="shared" si="245"/>
        <v>200</v>
      </c>
      <c r="L94" s="4">
        <v>3500</v>
      </c>
      <c r="M94" s="10">
        <f t="shared" si="246"/>
        <v>4637.5</v>
      </c>
      <c r="N94" s="11">
        <f t="shared" si="247"/>
        <v>9237.5</v>
      </c>
    </row>
    <row r="95" spans="1:14" x14ac:dyDescent="0.25">
      <c r="A95" s="3" t="s">
        <v>115</v>
      </c>
      <c r="B95" s="4" t="s">
        <v>15</v>
      </c>
      <c r="C95" s="4" t="s">
        <v>16</v>
      </c>
      <c r="D95" s="3" t="s">
        <v>17</v>
      </c>
      <c r="E95" s="4">
        <v>18050</v>
      </c>
      <c r="F95" s="5">
        <f>E95*52%</f>
        <v>9386</v>
      </c>
      <c r="G95" s="6">
        <f>IF(D95="A",E95*25%,IF(D95="B",E95*15%,E95*10%))</f>
        <v>4512.5</v>
      </c>
      <c r="H95" s="5">
        <f>E95*8%</f>
        <v>1444</v>
      </c>
      <c r="I95" s="7">
        <f>SUM(E95:H95)</f>
        <v>33392.5</v>
      </c>
      <c r="J95" s="8">
        <f>E95*12.5%</f>
        <v>2256.25</v>
      </c>
      <c r="K95" s="5">
        <f>IF(I95&lt;=10000,100,IF(AND(I95&gt;10000,I95&lt;20000),200,300))</f>
        <v>300</v>
      </c>
      <c r="L95" s="9">
        <v>500</v>
      </c>
      <c r="M95" s="10">
        <f>SUM(J95:L95)</f>
        <v>3056.25</v>
      </c>
      <c r="N95" s="11">
        <f>I95-M95</f>
        <v>30336.25</v>
      </c>
    </row>
    <row r="96" spans="1:14" x14ac:dyDescent="0.25">
      <c r="A96" s="3" t="s">
        <v>116</v>
      </c>
      <c r="B96" s="4" t="s">
        <v>19</v>
      </c>
      <c r="C96" s="4" t="s">
        <v>20</v>
      </c>
      <c r="D96" s="3" t="s">
        <v>21</v>
      </c>
      <c r="E96" s="4">
        <v>3500</v>
      </c>
      <c r="F96" s="5">
        <f t="shared" ref="F96:F97" si="248">E96*52%</f>
        <v>1820</v>
      </c>
      <c r="G96" s="6">
        <f t="shared" ref="G96:G97" si="249">IF(D96="A",E96*25%,IF(D96="B",E96*15%,E96*10%))</f>
        <v>525</v>
      </c>
      <c r="H96" s="5">
        <f t="shared" ref="H96:H97" si="250">E96*8%</f>
        <v>280</v>
      </c>
      <c r="I96" s="7">
        <f t="shared" ref="I96:I97" si="251">SUM(E96:H96)</f>
        <v>6125</v>
      </c>
      <c r="J96" s="8">
        <f t="shared" ref="J96:J97" si="252">E96*12.5%</f>
        <v>437.5</v>
      </c>
      <c r="K96" s="5">
        <f t="shared" ref="K96:K97" si="253">IF(I96&lt;=10000,100,IF(AND(I96&gt;10000,I96&lt;20000),200,300))</f>
        <v>100</v>
      </c>
      <c r="L96" s="4">
        <v>200</v>
      </c>
      <c r="M96" s="10">
        <f t="shared" ref="M96:M97" si="254">SUM(J96:L96)</f>
        <v>737.5</v>
      </c>
      <c r="N96" s="11">
        <f t="shared" ref="N96:N97" si="255">I96-M96</f>
        <v>5387.5</v>
      </c>
    </row>
    <row r="97" spans="1:14" x14ac:dyDescent="0.25">
      <c r="A97" s="3" t="s">
        <v>117</v>
      </c>
      <c r="B97" s="4" t="s">
        <v>23</v>
      </c>
      <c r="C97" s="4" t="s">
        <v>24</v>
      </c>
      <c r="D97" s="3" t="s">
        <v>17</v>
      </c>
      <c r="E97" s="4">
        <v>7500</v>
      </c>
      <c r="F97" s="5">
        <f t="shared" si="248"/>
        <v>3900</v>
      </c>
      <c r="G97" s="6">
        <f t="shared" si="249"/>
        <v>1875</v>
      </c>
      <c r="H97" s="5">
        <f t="shared" si="250"/>
        <v>600</v>
      </c>
      <c r="I97" s="7">
        <f t="shared" si="251"/>
        <v>13875</v>
      </c>
      <c r="J97" s="8">
        <f t="shared" si="252"/>
        <v>937.5</v>
      </c>
      <c r="K97" s="5">
        <f t="shared" si="253"/>
        <v>200</v>
      </c>
      <c r="L97" s="4">
        <v>3500</v>
      </c>
      <c r="M97" s="10">
        <f t="shared" si="254"/>
        <v>4637.5</v>
      </c>
      <c r="N97" s="11">
        <f t="shared" si="255"/>
        <v>9237.5</v>
      </c>
    </row>
    <row r="98" spans="1:14" x14ac:dyDescent="0.25">
      <c r="A98" s="3" t="s">
        <v>118</v>
      </c>
      <c r="B98" s="4" t="s">
        <v>15</v>
      </c>
      <c r="C98" s="4" t="s">
        <v>16</v>
      </c>
      <c r="D98" s="3" t="s">
        <v>17</v>
      </c>
      <c r="E98" s="4">
        <v>18050</v>
      </c>
      <c r="F98" s="5">
        <f>E98*52%</f>
        <v>9386</v>
      </c>
      <c r="G98" s="6">
        <f>IF(D98="A",E98*25%,IF(D98="B",E98*15%,E98*10%))</f>
        <v>4512.5</v>
      </c>
      <c r="H98" s="5">
        <f>E98*8%</f>
        <v>1444</v>
      </c>
      <c r="I98" s="7">
        <f>SUM(E98:H98)</f>
        <v>33392.5</v>
      </c>
      <c r="J98" s="8">
        <f>E98*12.5%</f>
        <v>2256.25</v>
      </c>
      <c r="K98" s="5">
        <f>IF(I98&lt;=10000,100,IF(AND(I98&gt;10000,I98&lt;20000),200,300))</f>
        <v>300</v>
      </c>
      <c r="L98" s="9">
        <v>500</v>
      </c>
      <c r="M98" s="10">
        <f>SUM(J98:L98)</f>
        <v>3056.25</v>
      </c>
      <c r="N98" s="11">
        <f>I98-M98</f>
        <v>30336.25</v>
      </c>
    </row>
    <row r="99" spans="1:14" x14ac:dyDescent="0.25">
      <c r="A99" s="3" t="s">
        <v>119</v>
      </c>
      <c r="B99" s="4" t="s">
        <v>19</v>
      </c>
      <c r="C99" s="4" t="s">
        <v>20</v>
      </c>
      <c r="D99" s="3" t="s">
        <v>21</v>
      </c>
      <c r="E99" s="4">
        <v>3500</v>
      </c>
      <c r="F99" s="5">
        <f t="shared" ref="F99:F100" si="256">E99*52%</f>
        <v>1820</v>
      </c>
      <c r="G99" s="6">
        <f t="shared" ref="G99:G100" si="257">IF(D99="A",E99*25%,IF(D99="B",E99*15%,E99*10%))</f>
        <v>525</v>
      </c>
      <c r="H99" s="5">
        <f t="shared" ref="H99:H100" si="258">E99*8%</f>
        <v>280</v>
      </c>
      <c r="I99" s="7">
        <f t="shared" ref="I99:I100" si="259">SUM(E99:H99)</f>
        <v>6125</v>
      </c>
      <c r="J99" s="8">
        <f t="shared" ref="J99:J100" si="260">E99*12.5%</f>
        <v>437.5</v>
      </c>
      <c r="K99" s="5">
        <f t="shared" ref="K99:K100" si="261">IF(I99&lt;=10000,100,IF(AND(I99&gt;10000,I99&lt;20000),200,300))</f>
        <v>100</v>
      </c>
      <c r="L99" s="4">
        <v>200</v>
      </c>
      <c r="M99" s="10">
        <f t="shared" ref="M99:M100" si="262">SUM(J99:L99)</f>
        <v>737.5</v>
      </c>
      <c r="N99" s="11">
        <f t="shared" ref="N99:N100" si="263">I99-M99</f>
        <v>5387.5</v>
      </c>
    </row>
    <row r="100" spans="1:14" x14ac:dyDescent="0.25">
      <c r="A100" s="3" t="s">
        <v>120</v>
      </c>
      <c r="B100" s="4" t="s">
        <v>23</v>
      </c>
      <c r="C100" s="4" t="s">
        <v>24</v>
      </c>
      <c r="D100" s="3" t="s">
        <v>17</v>
      </c>
      <c r="E100" s="4">
        <v>7500</v>
      </c>
      <c r="F100" s="5">
        <f t="shared" si="256"/>
        <v>3900</v>
      </c>
      <c r="G100" s="6">
        <f t="shared" si="257"/>
        <v>1875</v>
      </c>
      <c r="H100" s="5">
        <f t="shared" si="258"/>
        <v>600</v>
      </c>
      <c r="I100" s="7">
        <f t="shared" si="259"/>
        <v>13875</v>
      </c>
      <c r="J100" s="8">
        <f t="shared" si="260"/>
        <v>937.5</v>
      </c>
      <c r="K100" s="5">
        <f t="shared" si="261"/>
        <v>200</v>
      </c>
      <c r="L100" s="4">
        <v>3500</v>
      </c>
      <c r="M100" s="10">
        <f t="shared" si="262"/>
        <v>4637.5</v>
      </c>
      <c r="N100" s="11">
        <f t="shared" si="263"/>
        <v>9237.5</v>
      </c>
    </row>
    <row r="101" spans="1:14" x14ac:dyDescent="0.25">
      <c r="A101" s="3" t="s">
        <v>121</v>
      </c>
      <c r="B101" s="4" t="s">
        <v>15</v>
      </c>
      <c r="C101" s="4" t="s">
        <v>16</v>
      </c>
      <c r="D101" s="3" t="s">
        <v>17</v>
      </c>
      <c r="E101" s="4">
        <v>18050</v>
      </c>
      <c r="F101" s="5">
        <f>E101*52%</f>
        <v>9386</v>
      </c>
      <c r="G101" s="6">
        <f>IF(D101="A",E101*25%,IF(D101="B",E101*15%,E101*10%))</f>
        <v>4512.5</v>
      </c>
      <c r="H101" s="5">
        <f>E101*8%</f>
        <v>1444</v>
      </c>
      <c r="I101" s="7">
        <f>SUM(E101:H101)</f>
        <v>33392.5</v>
      </c>
      <c r="J101" s="8">
        <f>E101*12.5%</f>
        <v>2256.25</v>
      </c>
      <c r="K101" s="5">
        <f>IF(I101&lt;=10000,100,IF(AND(I101&gt;10000,I101&lt;20000),200,300))</f>
        <v>300</v>
      </c>
      <c r="L101" s="9">
        <v>500</v>
      </c>
      <c r="M101" s="10">
        <f>SUM(J101:L101)</f>
        <v>3056.25</v>
      </c>
      <c r="N101" s="11">
        <f>I101-M101</f>
        <v>30336.25</v>
      </c>
    </row>
    <row r="102" spans="1:14" x14ac:dyDescent="0.25">
      <c r="A102" s="3" t="s">
        <v>122</v>
      </c>
      <c r="B102" s="4" t="s">
        <v>19</v>
      </c>
      <c r="C102" s="4" t="s">
        <v>20</v>
      </c>
      <c r="D102" s="3" t="s">
        <v>21</v>
      </c>
      <c r="E102" s="4">
        <v>3500</v>
      </c>
      <c r="F102" s="5">
        <f t="shared" ref="F102:F103" si="264">E102*52%</f>
        <v>1820</v>
      </c>
      <c r="G102" s="6">
        <f t="shared" ref="G102:G103" si="265">IF(D102="A",E102*25%,IF(D102="B",E102*15%,E102*10%))</f>
        <v>525</v>
      </c>
      <c r="H102" s="5">
        <f t="shared" ref="H102:H103" si="266">E102*8%</f>
        <v>280</v>
      </c>
      <c r="I102" s="7">
        <f t="shared" ref="I102:I103" si="267">SUM(E102:H102)</f>
        <v>6125</v>
      </c>
      <c r="J102" s="8">
        <f t="shared" ref="J102:J103" si="268">E102*12.5%</f>
        <v>437.5</v>
      </c>
      <c r="K102" s="5">
        <f t="shared" ref="K102:K103" si="269">IF(I102&lt;=10000,100,IF(AND(I102&gt;10000,I102&lt;20000),200,300))</f>
        <v>100</v>
      </c>
      <c r="L102" s="4">
        <v>200</v>
      </c>
      <c r="M102" s="10">
        <f t="shared" ref="M102:M103" si="270">SUM(J102:L102)</f>
        <v>737.5</v>
      </c>
      <c r="N102" s="11">
        <f t="shared" ref="N102:N103" si="271">I102-M102</f>
        <v>5387.5</v>
      </c>
    </row>
    <row r="103" spans="1:14" x14ac:dyDescent="0.25">
      <c r="A103" s="3" t="s">
        <v>123</v>
      </c>
      <c r="B103" s="4" t="s">
        <v>23</v>
      </c>
      <c r="C103" s="4" t="s">
        <v>24</v>
      </c>
      <c r="D103" s="3" t="s">
        <v>17</v>
      </c>
      <c r="E103" s="4">
        <v>7500</v>
      </c>
      <c r="F103" s="5">
        <f t="shared" si="264"/>
        <v>3900</v>
      </c>
      <c r="G103" s="6">
        <f t="shared" si="265"/>
        <v>1875</v>
      </c>
      <c r="H103" s="5">
        <f t="shared" si="266"/>
        <v>600</v>
      </c>
      <c r="I103" s="7">
        <f t="shared" si="267"/>
        <v>13875</v>
      </c>
      <c r="J103" s="8">
        <f t="shared" si="268"/>
        <v>937.5</v>
      </c>
      <c r="K103" s="5">
        <f t="shared" si="269"/>
        <v>200</v>
      </c>
      <c r="L103" s="4">
        <v>3500</v>
      </c>
      <c r="M103" s="10">
        <f t="shared" si="270"/>
        <v>4637.5</v>
      </c>
      <c r="N103" s="11">
        <f t="shared" si="271"/>
        <v>9237.5</v>
      </c>
    </row>
    <row r="104" spans="1:14" x14ac:dyDescent="0.25">
      <c r="A104" s="3" t="s">
        <v>124</v>
      </c>
      <c r="B104" s="4" t="s">
        <v>15</v>
      </c>
      <c r="C104" s="4" t="s">
        <v>16</v>
      </c>
      <c r="D104" s="3" t="s">
        <v>17</v>
      </c>
      <c r="E104" s="4">
        <v>18050</v>
      </c>
      <c r="F104" s="5">
        <f>E104*52%</f>
        <v>9386</v>
      </c>
      <c r="G104" s="6">
        <f>IF(D104="A",E104*25%,IF(D104="B",E104*15%,E104*10%))</f>
        <v>4512.5</v>
      </c>
      <c r="H104" s="5">
        <f>E104*8%</f>
        <v>1444</v>
      </c>
      <c r="I104" s="7">
        <f>SUM(E104:H104)</f>
        <v>33392.5</v>
      </c>
      <c r="J104" s="8">
        <f>E104*12.5%</f>
        <v>2256.25</v>
      </c>
      <c r="K104" s="5">
        <f>IF(I104&lt;=10000,100,IF(AND(I104&gt;10000,I104&lt;20000),200,300))</f>
        <v>300</v>
      </c>
      <c r="L104" s="9">
        <v>500</v>
      </c>
      <c r="M104" s="10">
        <f>SUM(J104:L104)</f>
        <v>3056.25</v>
      </c>
      <c r="N104" s="11">
        <f>I104-M104</f>
        <v>30336.25</v>
      </c>
    </row>
    <row r="105" spans="1:14" x14ac:dyDescent="0.25">
      <c r="A105" s="3" t="s">
        <v>125</v>
      </c>
      <c r="B105" s="4" t="s">
        <v>19</v>
      </c>
      <c r="C105" s="4" t="s">
        <v>20</v>
      </c>
      <c r="D105" s="3" t="s">
        <v>21</v>
      </c>
      <c r="E105" s="4">
        <v>3500</v>
      </c>
      <c r="F105" s="5">
        <f t="shared" ref="F105:F106" si="272">E105*52%</f>
        <v>1820</v>
      </c>
      <c r="G105" s="6">
        <f t="shared" ref="G105:G106" si="273">IF(D105="A",E105*25%,IF(D105="B",E105*15%,E105*10%))</f>
        <v>525</v>
      </c>
      <c r="H105" s="5">
        <f t="shared" ref="H105:H106" si="274">E105*8%</f>
        <v>280</v>
      </c>
      <c r="I105" s="7">
        <f t="shared" ref="I105:I106" si="275">SUM(E105:H105)</f>
        <v>6125</v>
      </c>
      <c r="J105" s="8">
        <f t="shared" ref="J105:J106" si="276">E105*12.5%</f>
        <v>437.5</v>
      </c>
      <c r="K105" s="5">
        <f t="shared" ref="K105:K106" si="277">IF(I105&lt;=10000,100,IF(AND(I105&gt;10000,I105&lt;20000),200,300))</f>
        <v>100</v>
      </c>
      <c r="L105" s="4">
        <v>200</v>
      </c>
      <c r="M105" s="10">
        <f t="shared" ref="M105:M106" si="278">SUM(J105:L105)</f>
        <v>737.5</v>
      </c>
      <c r="N105" s="11">
        <f t="shared" ref="N105:N106" si="279">I105-M105</f>
        <v>5387.5</v>
      </c>
    </row>
    <row r="106" spans="1:14" x14ac:dyDescent="0.25">
      <c r="A106" s="3" t="s">
        <v>126</v>
      </c>
      <c r="B106" s="4" t="s">
        <v>23</v>
      </c>
      <c r="C106" s="4" t="s">
        <v>24</v>
      </c>
      <c r="D106" s="3" t="s">
        <v>17</v>
      </c>
      <c r="E106" s="4">
        <v>7500</v>
      </c>
      <c r="F106" s="5">
        <f t="shared" si="272"/>
        <v>3900</v>
      </c>
      <c r="G106" s="6">
        <f t="shared" si="273"/>
        <v>1875</v>
      </c>
      <c r="H106" s="5">
        <f t="shared" si="274"/>
        <v>600</v>
      </c>
      <c r="I106" s="7">
        <f t="shared" si="275"/>
        <v>13875</v>
      </c>
      <c r="J106" s="8">
        <f t="shared" si="276"/>
        <v>937.5</v>
      </c>
      <c r="K106" s="5">
        <f t="shared" si="277"/>
        <v>200</v>
      </c>
      <c r="L106" s="4">
        <v>3500</v>
      </c>
      <c r="M106" s="10">
        <f t="shared" si="278"/>
        <v>4637.5</v>
      </c>
      <c r="N106" s="11">
        <f t="shared" si="279"/>
        <v>9237.5</v>
      </c>
    </row>
    <row r="107" spans="1:14" x14ac:dyDescent="0.25">
      <c r="A107" s="3" t="s">
        <v>127</v>
      </c>
      <c r="B107" s="4" t="s">
        <v>15</v>
      </c>
      <c r="C107" s="4" t="s">
        <v>16</v>
      </c>
      <c r="D107" s="3" t="s">
        <v>17</v>
      </c>
      <c r="E107" s="4">
        <v>18050</v>
      </c>
      <c r="F107" s="5">
        <f>E107*52%</f>
        <v>9386</v>
      </c>
      <c r="G107" s="6">
        <f>IF(D107="A",E107*25%,IF(D107="B",E107*15%,E107*10%))</f>
        <v>4512.5</v>
      </c>
      <c r="H107" s="5">
        <f>E107*8%</f>
        <v>1444</v>
      </c>
      <c r="I107" s="7">
        <f>SUM(E107:H107)</f>
        <v>33392.5</v>
      </c>
      <c r="J107" s="8">
        <f>E107*12.5%</f>
        <v>2256.25</v>
      </c>
      <c r="K107" s="5">
        <f>IF(I107&lt;=10000,100,IF(AND(I107&gt;10000,I107&lt;20000),200,300))</f>
        <v>300</v>
      </c>
      <c r="L107" s="9">
        <v>500</v>
      </c>
      <c r="M107" s="10">
        <f>SUM(J107:L107)</f>
        <v>3056.25</v>
      </c>
      <c r="N107" s="11">
        <f>I107-M107</f>
        <v>30336.25</v>
      </c>
    </row>
    <row r="108" spans="1:14" x14ac:dyDescent="0.25">
      <c r="A108" s="3" t="s">
        <v>128</v>
      </c>
      <c r="B108" s="4" t="s">
        <v>19</v>
      </c>
      <c r="C108" s="4" t="s">
        <v>20</v>
      </c>
      <c r="D108" s="3" t="s">
        <v>21</v>
      </c>
      <c r="E108" s="4">
        <v>3500</v>
      </c>
      <c r="F108" s="5">
        <f t="shared" ref="F108:F109" si="280">E108*52%</f>
        <v>1820</v>
      </c>
      <c r="G108" s="6">
        <f t="shared" ref="G108:G109" si="281">IF(D108="A",E108*25%,IF(D108="B",E108*15%,E108*10%))</f>
        <v>525</v>
      </c>
      <c r="H108" s="5">
        <f t="shared" ref="H108:H109" si="282">E108*8%</f>
        <v>280</v>
      </c>
      <c r="I108" s="7">
        <f t="shared" ref="I108:I109" si="283">SUM(E108:H108)</f>
        <v>6125</v>
      </c>
      <c r="J108" s="8">
        <f t="shared" ref="J108:J109" si="284">E108*12.5%</f>
        <v>437.5</v>
      </c>
      <c r="K108" s="5">
        <f t="shared" ref="K108:K109" si="285">IF(I108&lt;=10000,100,IF(AND(I108&gt;10000,I108&lt;20000),200,300))</f>
        <v>100</v>
      </c>
      <c r="L108" s="4">
        <v>200</v>
      </c>
      <c r="M108" s="10">
        <f t="shared" ref="M108:M109" si="286">SUM(J108:L108)</f>
        <v>737.5</v>
      </c>
      <c r="N108" s="11">
        <f t="shared" ref="N108:N109" si="287">I108-M108</f>
        <v>5387.5</v>
      </c>
    </row>
    <row r="109" spans="1:14" x14ac:dyDescent="0.25">
      <c r="A109" s="3" t="s">
        <v>129</v>
      </c>
      <c r="B109" s="4" t="s">
        <v>23</v>
      </c>
      <c r="C109" s="4" t="s">
        <v>24</v>
      </c>
      <c r="D109" s="3" t="s">
        <v>17</v>
      </c>
      <c r="E109" s="4">
        <v>7500</v>
      </c>
      <c r="F109" s="5">
        <f t="shared" si="280"/>
        <v>3900</v>
      </c>
      <c r="G109" s="6">
        <f t="shared" si="281"/>
        <v>1875</v>
      </c>
      <c r="H109" s="5">
        <f t="shared" si="282"/>
        <v>600</v>
      </c>
      <c r="I109" s="7">
        <f t="shared" si="283"/>
        <v>13875</v>
      </c>
      <c r="J109" s="8">
        <f t="shared" si="284"/>
        <v>937.5</v>
      </c>
      <c r="K109" s="5">
        <f t="shared" si="285"/>
        <v>200</v>
      </c>
      <c r="L109" s="4">
        <v>3500</v>
      </c>
      <c r="M109" s="10">
        <f t="shared" si="286"/>
        <v>4637.5</v>
      </c>
      <c r="N109" s="11">
        <f t="shared" si="287"/>
        <v>9237.5</v>
      </c>
    </row>
    <row r="110" spans="1:14" x14ac:dyDescent="0.25">
      <c r="A110" s="3" t="s">
        <v>130</v>
      </c>
      <c r="B110" s="4" t="s">
        <v>15</v>
      </c>
      <c r="C110" s="4" t="s">
        <v>16</v>
      </c>
      <c r="D110" s="3" t="s">
        <v>17</v>
      </c>
      <c r="E110" s="4">
        <v>18050</v>
      </c>
      <c r="F110" s="5">
        <f>E110*52%</f>
        <v>9386</v>
      </c>
      <c r="G110" s="6">
        <f>IF(D110="A",E110*25%,IF(D110="B",E110*15%,E110*10%))</f>
        <v>4512.5</v>
      </c>
      <c r="H110" s="5">
        <f>E110*8%</f>
        <v>1444</v>
      </c>
      <c r="I110" s="7">
        <f>SUM(E110:H110)</f>
        <v>33392.5</v>
      </c>
      <c r="J110" s="8">
        <f>E110*12.5%</f>
        <v>2256.25</v>
      </c>
      <c r="K110" s="5">
        <f>IF(I110&lt;=10000,100,IF(AND(I110&gt;10000,I110&lt;20000),200,300))</f>
        <v>300</v>
      </c>
      <c r="L110" s="9">
        <v>500</v>
      </c>
      <c r="M110" s="10">
        <f>SUM(J110:L110)</f>
        <v>3056.25</v>
      </c>
      <c r="N110" s="11">
        <f>I110-M110</f>
        <v>30336.25</v>
      </c>
    </row>
    <row r="111" spans="1:14" x14ac:dyDescent="0.25">
      <c r="A111" s="3" t="s">
        <v>131</v>
      </c>
      <c r="B111" s="4" t="s">
        <v>19</v>
      </c>
      <c r="C111" s="4" t="s">
        <v>20</v>
      </c>
      <c r="D111" s="3" t="s">
        <v>21</v>
      </c>
      <c r="E111" s="4">
        <v>3500</v>
      </c>
      <c r="F111" s="5">
        <f t="shared" ref="F111:F112" si="288">E111*52%</f>
        <v>1820</v>
      </c>
      <c r="G111" s="6">
        <f t="shared" ref="G111:G112" si="289">IF(D111="A",E111*25%,IF(D111="B",E111*15%,E111*10%))</f>
        <v>525</v>
      </c>
      <c r="H111" s="5">
        <f t="shared" ref="H111:H112" si="290">E111*8%</f>
        <v>280</v>
      </c>
      <c r="I111" s="7">
        <f t="shared" ref="I111:I112" si="291">SUM(E111:H111)</f>
        <v>6125</v>
      </c>
      <c r="J111" s="8">
        <f t="shared" ref="J111:J112" si="292">E111*12.5%</f>
        <v>437.5</v>
      </c>
      <c r="K111" s="5">
        <f t="shared" ref="K111:K112" si="293">IF(I111&lt;=10000,100,IF(AND(I111&gt;10000,I111&lt;20000),200,300))</f>
        <v>100</v>
      </c>
      <c r="L111" s="4">
        <v>200</v>
      </c>
      <c r="M111" s="10">
        <f t="shared" ref="M111:M112" si="294">SUM(J111:L111)</f>
        <v>737.5</v>
      </c>
      <c r="N111" s="11">
        <f t="shared" ref="N111:N112" si="295">I111-M111</f>
        <v>5387.5</v>
      </c>
    </row>
    <row r="112" spans="1:14" x14ac:dyDescent="0.25">
      <c r="A112" s="3" t="s">
        <v>132</v>
      </c>
      <c r="B112" s="4" t="s">
        <v>23</v>
      </c>
      <c r="C112" s="4" t="s">
        <v>24</v>
      </c>
      <c r="D112" s="3" t="s">
        <v>17</v>
      </c>
      <c r="E112" s="4">
        <v>7500</v>
      </c>
      <c r="F112" s="5">
        <f t="shared" si="288"/>
        <v>3900</v>
      </c>
      <c r="G112" s="6">
        <f t="shared" si="289"/>
        <v>1875</v>
      </c>
      <c r="H112" s="5">
        <f t="shared" si="290"/>
        <v>600</v>
      </c>
      <c r="I112" s="7">
        <f t="shared" si="291"/>
        <v>13875</v>
      </c>
      <c r="J112" s="8">
        <f t="shared" si="292"/>
        <v>937.5</v>
      </c>
      <c r="K112" s="5">
        <f t="shared" si="293"/>
        <v>200</v>
      </c>
      <c r="L112" s="4">
        <v>3500</v>
      </c>
      <c r="M112" s="10">
        <f t="shared" si="294"/>
        <v>4637.5</v>
      </c>
      <c r="N112" s="11">
        <f t="shared" si="295"/>
        <v>9237.5</v>
      </c>
    </row>
    <row r="113" spans="1:14" x14ac:dyDescent="0.25">
      <c r="A113" s="3" t="s">
        <v>133</v>
      </c>
      <c r="B113" s="4" t="s">
        <v>15</v>
      </c>
      <c r="C113" s="4" t="s">
        <v>16</v>
      </c>
      <c r="D113" s="3" t="s">
        <v>17</v>
      </c>
      <c r="E113" s="4">
        <v>18050</v>
      </c>
      <c r="F113" s="5">
        <f>E113*52%</f>
        <v>9386</v>
      </c>
      <c r="G113" s="6">
        <f>IF(D113="A",E113*25%,IF(D113="B",E113*15%,E113*10%))</f>
        <v>4512.5</v>
      </c>
      <c r="H113" s="5">
        <f>E113*8%</f>
        <v>1444</v>
      </c>
      <c r="I113" s="7">
        <f>SUM(E113:H113)</f>
        <v>33392.5</v>
      </c>
      <c r="J113" s="8">
        <f>E113*12.5%</f>
        <v>2256.25</v>
      </c>
      <c r="K113" s="5">
        <f>IF(I113&lt;=10000,100,IF(AND(I113&gt;10000,I113&lt;20000),200,300))</f>
        <v>300</v>
      </c>
      <c r="L113" s="9">
        <v>500</v>
      </c>
      <c r="M113" s="10">
        <f>SUM(J113:L113)</f>
        <v>3056.25</v>
      </c>
      <c r="N113" s="11">
        <f>I113-M113</f>
        <v>30336.25</v>
      </c>
    </row>
    <row r="114" spans="1:14" x14ac:dyDescent="0.25">
      <c r="A114" s="3" t="s">
        <v>134</v>
      </c>
      <c r="B114" s="4" t="s">
        <v>19</v>
      </c>
      <c r="C114" s="4" t="s">
        <v>20</v>
      </c>
      <c r="D114" s="3" t="s">
        <v>21</v>
      </c>
      <c r="E114" s="4">
        <v>3500</v>
      </c>
      <c r="F114" s="5">
        <f t="shared" ref="F114:F115" si="296">E114*52%</f>
        <v>1820</v>
      </c>
      <c r="G114" s="6">
        <f t="shared" ref="G114:G115" si="297">IF(D114="A",E114*25%,IF(D114="B",E114*15%,E114*10%))</f>
        <v>525</v>
      </c>
      <c r="H114" s="5">
        <f t="shared" ref="H114:H115" si="298">E114*8%</f>
        <v>280</v>
      </c>
      <c r="I114" s="7">
        <f t="shared" ref="I114:I115" si="299">SUM(E114:H114)</f>
        <v>6125</v>
      </c>
      <c r="J114" s="8">
        <f t="shared" ref="J114:J115" si="300">E114*12.5%</f>
        <v>437.5</v>
      </c>
      <c r="K114" s="5">
        <f t="shared" ref="K114:K115" si="301">IF(I114&lt;=10000,100,IF(AND(I114&gt;10000,I114&lt;20000),200,300))</f>
        <v>100</v>
      </c>
      <c r="L114" s="4">
        <v>200</v>
      </c>
      <c r="M114" s="10">
        <f t="shared" ref="M114:M115" si="302">SUM(J114:L114)</f>
        <v>737.5</v>
      </c>
      <c r="N114" s="11">
        <f t="shared" ref="N114:N115" si="303">I114-M114</f>
        <v>5387.5</v>
      </c>
    </row>
    <row r="115" spans="1:14" x14ac:dyDescent="0.25">
      <c r="A115" s="3" t="s">
        <v>135</v>
      </c>
      <c r="B115" s="4" t="s">
        <v>23</v>
      </c>
      <c r="C115" s="4" t="s">
        <v>24</v>
      </c>
      <c r="D115" s="3" t="s">
        <v>17</v>
      </c>
      <c r="E115" s="4">
        <v>7500</v>
      </c>
      <c r="F115" s="5">
        <f t="shared" si="296"/>
        <v>3900</v>
      </c>
      <c r="G115" s="6">
        <f t="shared" si="297"/>
        <v>1875</v>
      </c>
      <c r="H115" s="5">
        <f t="shared" si="298"/>
        <v>600</v>
      </c>
      <c r="I115" s="7">
        <f t="shared" si="299"/>
        <v>13875</v>
      </c>
      <c r="J115" s="8">
        <f t="shared" si="300"/>
        <v>937.5</v>
      </c>
      <c r="K115" s="5">
        <f t="shared" si="301"/>
        <v>200</v>
      </c>
      <c r="L115" s="4">
        <v>3500</v>
      </c>
      <c r="M115" s="10">
        <f t="shared" si="302"/>
        <v>4637.5</v>
      </c>
      <c r="N115" s="11">
        <f t="shared" si="303"/>
        <v>9237.5</v>
      </c>
    </row>
    <row r="116" spans="1:14" x14ac:dyDescent="0.25">
      <c r="A116" s="3" t="s">
        <v>136</v>
      </c>
      <c r="B116" s="4" t="s">
        <v>15</v>
      </c>
      <c r="C116" s="4" t="s">
        <v>16</v>
      </c>
      <c r="D116" s="3" t="s">
        <v>17</v>
      </c>
      <c r="E116" s="4">
        <v>18050</v>
      </c>
      <c r="F116" s="5">
        <f>E116*52%</f>
        <v>9386</v>
      </c>
      <c r="G116" s="6">
        <f>IF(D116="A",E116*25%,IF(D116="B",E116*15%,E116*10%))</f>
        <v>4512.5</v>
      </c>
      <c r="H116" s="5">
        <f>E116*8%</f>
        <v>1444</v>
      </c>
      <c r="I116" s="7">
        <f>SUM(E116:H116)</f>
        <v>33392.5</v>
      </c>
      <c r="J116" s="8">
        <f>E116*12.5%</f>
        <v>2256.25</v>
      </c>
      <c r="K116" s="5">
        <f>IF(I116&lt;=10000,100,IF(AND(I116&gt;10000,I116&lt;20000),200,300))</f>
        <v>300</v>
      </c>
      <c r="L116" s="9">
        <v>500</v>
      </c>
      <c r="M116" s="10">
        <f>SUM(J116:L116)</f>
        <v>3056.25</v>
      </c>
      <c r="N116" s="11">
        <f>I116-M116</f>
        <v>30336.25</v>
      </c>
    </row>
    <row r="117" spans="1:14" x14ac:dyDescent="0.25">
      <c r="A117" s="3" t="s">
        <v>137</v>
      </c>
      <c r="B117" s="4" t="s">
        <v>19</v>
      </c>
      <c r="C117" s="4" t="s">
        <v>20</v>
      </c>
      <c r="D117" s="3" t="s">
        <v>21</v>
      </c>
      <c r="E117" s="4">
        <v>3500</v>
      </c>
      <c r="F117" s="5">
        <f t="shared" ref="F117:F118" si="304">E117*52%</f>
        <v>1820</v>
      </c>
      <c r="G117" s="6">
        <f t="shared" ref="G117:G118" si="305">IF(D117="A",E117*25%,IF(D117="B",E117*15%,E117*10%))</f>
        <v>525</v>
      </c>
      <c r="H117" s="5">
        <f t="shared" ref="H117:H118" si="306">E117*8%</f>
        <v>280</v>
      </c>
      <c r="I117" s="7">
        <f t="shared" ref="I117:I118" si="307">SUM(E117:H117)</f>
        <v>6125</v>
      </c>
      <c r="J117" s="8">
        <f t="shared" ref="J117:J118" si="308">E117*12.5%</f>
        <v>437.5</v>
      </c>
      <c r="K117" s="5">
        <f t="shared" ref="K117:K118" si="309">IF(I117&lt;=10000,100,IF(AND(I117&gt;10000,I117&lt;20000),200,300))</f>
        <v>100</v>
      </c>
      <c r="L117" s="4">
        <v>200</v>
      </c>
      <c r="M117" s="10">
        <f t="shared" ref="M117:M118" si="310">SUM(J117:L117)</f>
        <v>737.5</v>
      </c>
      <c r="N117" s="11">
        <f t="shared" ref="N117:N118" si="311">I117-M117</f>
        <v>5387.5</v>
      </c>
    </row>
    <row r="118" spans="1:14" x14ac:dyDescent="0.25">
      <c r="A118" s="3" t="s">
        <v>138</v>
      </c>
      <c r="B118" s="4" t="s">
        <v>23</v>
      </c>
      <c r="C118" s="4" t="s">
        <v>24</v>
      </c>
      <c r="D118" s="3" t="s">
        <v>17</v>
      </c>
      <c r="E118" s="4">
        <v>7500</v>
      </c>
      <c r="F118" s="5">
        <f t="shared" si="304"/>
        <v>3900</v>
      </c>
      <c r="G118" s="6">
        <f t="shared" si="305"/>
        <v>1875</v>
      </c>
      <c r="H118" s="5">
        <f t="shared" si="306"/>
        <v>600</v>
      </c>
      <c r="I118" s="7">
        <f t="shared" si="307"/>
        <v>13875</v>
      </c>
      <c r="J118" s="8">
        <f t="shared" si="308"/>
        <v>937.5</v>
      </c>
      <c r="K118" s="5">
        <f t="shared" si="309"/>
        <v>200</v>
      </c>
      <c r="L118" s="4">
        <v>3500</v>
      </c>
      <c r="M118" s="10">
        <f t="shared" si="310"/>
        <v>4637.5</v>
      </c>
      <c r="N118" s="11">
        <f t="shared" si="311"/>
        <v>9237.5</v>
      </c>
    </row>
    <row r="119" spans="1:14" x14ac:dyDescent="0.25">
      <c r="A119" s="3" t="s">
        <v>139</v>
      </c>
      <c r="B119" s="4" t="s">
        <v>15</v>
      </c>
      <c r="C119" s="4" t="s">
        <v>16</v>
      </c>
      <c r="D119" s="3" t="s">
        <v>17</v>
      </c>
      <c r="E119" s="4">
        <v>18050</v>
      </c>
      <c r="F119" s="5">
        <f>E119*52%</f>
        <v>9386</v>
      </c>
      <c r="G119" s="6">
        <f>IF(D119="A",E119*25%,IF(D119="B",E119*15%,E119*10%))</f>
        <v>4512.5</v>
      </c>
      <c r="H119" s="5">
        <f>E119*8%</f>
        <v>1444</v>
      </c>
      <c r="I119" s="7">
        <f>SUM(E119:H119)</f>
        <v>33392.5</v>
      </c>
      <c r="J119" s="8">
        <f>E119*12.5%</f>
        <v>2256.25</v>
      </c>
      <c r="K119" s="5">
        <f>IF(I119&lt;=10000,100,IF(AND(I119&gt;10000,I119&lt;20000),200,300))</f>
        <v>300</v>
      </c>
      <c r="L119" s="9">
        <v>500</v>
      </c>
      <c r="M119" s="10">
        <f>SUM(J119:L119)</f>
        <v>3056.25</v>
      </c>
      <c r="N119" s="11">
        <f>I119-M119</f>
        <v>30336.25</v>
      </c>
    </row>
    <row r="120" spans="1:14" x14ac:dyDescent="0.25">
      <c r="A120" s="3" t="s">
        <v>140</v>
      </c>
      <c r="B120" s="4" t="s">
        <v>19</v>
      </c>
      <c r="C120" s="4" t="s">
        <v>20</v>
      </c>
      <c r="D120" s="3" t="s">
        <v>21</v>
      </c>
      <c r="E120" s="4">
        <v>3500</v>
      </c>
      <c r="F120" s="5">
        <f t="shared" ref="F120:F121" si="312">E120*52%</f>
        <v>1820</v>
      </c>
      <c r="G120" s="6">
        <f t="shared" ref="G120:G121" si="313">IF(D120="A",E120*25%,IF(D120="B",E120*15%,E120*10%))</f>
        <v>525</v>
      </c>
      <c r="H120" s="5">
        <f t="shared" ref="H120:H121" si="314">E120*8%</f>
        <v>280</v>
      </c>
      <c r="I120" s="7">
        <f t="shared" ref="I120:I121" si="315">SUM(E120:H120)</f>
        <v>6125</v>
      </c>
      <c r="J120" s="8">
        <f t="shared" ref="J120:J121" si="316">E120*12.5%</f>
        <v>437.5</v>
      </c>
      <c r="K120" s="5">
        <f t="shared" ref="K120:K121" si="317">IF(I120&lt;=10000,100,IF(AND(I120&gt;10000,I120&lt;20000),200,300))</f>
        <v>100</v>
      </c>
      <c r="L120" s="4">
        <v>200</v>
      </c>
      <c r="M120" s="10">
        <f t="shared" ref="M120:M121" si="318">SUM(J120:L120)</f>
        <v>737.5</v>
      </c>
      <c r="N120" s="11">
        <f t="shared" ref="N120:N121" si="319">I120-M120</f>
        <v>5387.5</v>
      </c>
    </row>
    <row r="121" spans="1:14" x14ac:dyDescent="0.25">
      <c r="A121" s="3" t="s">
        <v>141</v>
      </c>
      <c r="B121" s="4" t="s">
        <v>23</v>
      </c>
      <c r="C121" s="4" t="s">
        <v>24</v>
      </c>
      <c r="D121" s="3" t="s">
        <v>17</v>
      </c>
      <c r="E121" s="4">
        <v>7500</v>
      </c>
      <c r="F121" s="5">
        <f t="shared" si="312"/>
        <v>3900</v>
      </c>
      <c r="G121" s="6">
        <f t="shared" si="313"/>
        <v>1875</v>
      </c>
      <c r="H121" s="5">
        <f t="shared" si="314"/>
        <v>600</v>
      </c>
      <c r="I121" s="7">
        <f t="shared" si="315"/>
        <v>13875</v>
      </c>
      <c r="J121" s="8">
        <f t="shared" si="316"/>
        <v>937.5</v>
      </c>
      <c r="K121" s="5">
        <f t="shared" si="317"/>
        <v>200</v>
      </c>
      <c r="L121" s="4">
        <v>3500</v>
      </c>
      <c r="M121" s="10">
        <f t="shared" si="318"/>
        <v>4637.5</v>
      </c>
      <c r="N121" s="11">
        <f t="shared" si="319"/>
        <v>9237.5</v>
      </c>
    </row>
    <row r="122" spans="1:14" x14ac:dyDescent="0.25">
      <c r="A122" s="3" t="s">
        <v>142</v>
      </c>
      <c r="B122" s="4" t="s">
        <v>15</v>
      </c>
      <c r="C122" s="4" t="s">
        <v>16</v>
      </c>
      <c r="D122" s="3" t="s">
        <v>17</v>
      </c>
      <c r="E122" s="4">
        <v>18050</v>
      </c>
      <c r="F122" s="5">
        <f>E122*52%</f>
        <v>9386</v>
      </c>
      <c r="G122" s="6">
        <f>IF(D122="A",E122*25%,IF(D122="B",E122*15%,E122*10%))</f>
        <v>4512.5</v>
      </c>
      <c r="H122" s="5">
        <f>E122*8%</f>
        <v>1444</v>
      </c>
      <c r="I122" s="7">
        <f>SUM(E122:H122)</f>
        <v>33392.5</v>
      </c>
      <c r="J122" s="8">
        <f>E122*12.5%</f>
        <v>2256.25</v>
      </c>
      <c r="K122" s="5">
        <f>IF(I122&lt;=10000,100,IF(AND(I122&gt;10000,I122&lt;20000),200,300))</f>
        <v>300</v>
      </c>
      <c r="L122" s="9">
        <v>500</v>
      </c>
      <c r="M122" s="10">
        <f>SUM(J122:L122)</f>
        <v>3056.25</v>
      </c>
      <c r="N122" s="11">
        <f>I122-M122</f>
        <v>30336.25</v>
      </c>
    </row>
    <row r="123" spans="1:14" x14ac:dyDescent="0.25">
      <c r="A123" s="3" t="s">
        <v>143</v>
      </c>
      <c r="B123" s="4" t="s">
        <v>19</v>
      </c>
      <c r="C123" s="4" t="s">
        <v>20</v>
      </c>
      <c r="D123" s="3" t="s">
        <v>21</v>
      </c>
      <c r="E123" s="4">
        <v>3500</v>
      </c>
      <c r="F123" s="5">
        <f t="shared" ref="F123:F124" si="320">E123*52%</f>
        <v>1820</v>
      </c>
      <c r="G123" s="6">
        <f t="shared" ref="G123:G124" si="321">IF(D123="A",E123*25%,IF(D123="B",E123*15%,E123*10%))</f>
        <v>525</v>
      </c>
      <c r="H123" s="5">
        <f t="shared" ref="H123:H124" si="322">E123*8%</f>
        <v>280</v>
      </c>
      <c r="I123" s="7">
        <f t="shared" ref="I123:I124" si="323">SUM(E123:H123)</f>
        <v>6125</v>
      </c>
      <c r="J123" s="8">
        <f t="shared" ref="J123:J124" si="324">E123*12.5%</f>
        <v>437.5</v>
      </c>
      <c r="K123" s="5">
        <f t="shared" ref="K123:K124" si="325">IF(I123&lt;=10000,100,IF(AND(I123&gt;10000,I123&lt;20000),200,300))</f>
        <v>100</v>
      </c>
      <c r="L123" s="4">
        <v>200</v>
      </c>
      <c r="M123" s="10">
        <f t="shared" ref="M123:M124" si="326">SUM(J123:L123)</f>
        <v>737.5</v>
      </c>
      <c r="N123" s="11">
        <f t="shared" ref="N123:N124" si="327">I123-M123</f>
        <v>5387.5</v>
      </c>
    </row>
    <row r="124" spans="1:14" x14ac:dyDescent="0.25">
      <c r="A124" s="3" t="s">
        <v>144</v>
      </c>
      <c r="B124" s="4" t="s">
        <v>23</v>
      </c>
      <c r="C124" s="4" t="s">
        <v>24</v>
      </c>
      <c r="D124" s="3" t="s">
        <v>17</v>
      </c>
      <c r="E124" s="4">
        <v>7500</v>
      </c>
      <c r="F124" s="5">
        <f t="shared" si="320"/>
        <v>3900</v>
      </c>
      <c r="G124" s="6">
        <f t="shared" si="321"/>
        <v>1875</v>
      </c>
      <c r="H124" s="5">
        <f t="shared" si="322"/>
        <v>600</v>
      </c>
      <c r="I124" s="7">
        <f t="shared" si="323"/>
        <v>13875</v>
      </c>
      <c r="J124" s="8">
        <f t="shared" si="324"/>
        <v>937.5</v>
      </c>
      <c r="K124" s="5">
        <f t="shared" si="325"/>
        <v>200</v>
      </c>
      <c r="L124" s="4">
        <v>3500</v>
      </c>
      <c r="M124" s="10">
        <f t="shared" si="326"/>
        <v>4637.5</v>
      </c>
      <c r="N124" s="11">
        <f t="shared" si="327"/>
        <v>9237.5</v>
      </c>
    </row>
    <row r="125" spans="1:14" x14ac:dyDescent="0.25">
      <c r="A125" s="3" t="s">
        <v>145</v>
      </c>
      <c r="B125" s="4" t="s">
        <v>15</v>
      </c>
      <c r="C125" s="4" t="s">
        <v>16</v>
      </c>
      <c r="D125" s="3" t="s">
        <v>17</v>
      </c>
      <c r="E125" s="4">
        <v>18050</v>
      </c>
      <c r="F125" s="5">
        <f>E125*52%</f>
        <v>9386</v>
      </c>
      <c r="G125" s="6">
        <f>IF(D125="A",E125*25%,IF(D125="B",E125*15%,E125*10%))</f>
        <v>4512.5</v>
      </c>
      <c r="H125" s="5">
        <f>E125*8%</f>
        <v>1444</v>
      </c>
      <c r="I125" s="7">
        <f>SUM(E125:H125)</f>
        <v>33392.5</v>
      </c>
      <c r="J125" s="8">
        <f>E125*12.5%</f>
        <v>2256.25</v>
      </c>
      <c r="K125" s="5">
        <f>IF(I125&lt;=10000,100,IF(AND(I125&gt;10000,I125&lt;20000),200,300))</f>
        <v>300</v>
      </c>
      <c r="L125" s="9">
        <v>500</v>
      </c>
      <c r="M125" s="10">
        <f>SUM(J125:L125)</f>
        <v>3056.25</v>
      </c>
      <c r="N125" s="11">
        <f>I125-M125</f>
        <v>30336.25</v>
      </c>
    </row>
    <row r="126" spans="1:14" x14ac:dyDescent="0.25">
      <c r="A126" s="3" t="s">
        <v>146</v>
      </c>
      <c r="B126" s="4" t="s">
        <v>19</v>
      </c>
      <c r="C126" s="4" t="s">
        <v>20</v>
      </c>
      <c r="D126" s="3" t="s">
        <v>21</v>
      </c>
      <c r="E126" s="4">
        <v>3500</v>
      </c>
      <c r="F126" s="5">
        <f t="shared" ref="F126:F127" si="328">E126*52%</f>
        <v>1820</v>
      </c>
      <c r="G126" s="6">
        <f t="shared" ref="G126:G127" si="329">IF(D126="A",E126*25%,IF(D126="B",E126*15%,E126*10%))</f>
        <v>525</v>
      </c>
      <c r="H126" s="5">
        <f t="shared" ref="H126:H127" si="330">E126*8%</f>
        <v>280</v>
      </c>
      <c r="I126" s="7">
        <f t="shared" ref="I126:I127" si="331">SUM(E126:H126)</f>
        <v>6125</v>
      </c>
      <c r="J126" s="8">
        <f t="shared" ref="J126:J127" si="332">E126*12.5%</f>
        <v>437.5</v>
      </c>
      <c r="K126" s="5">
        <f t="shared" ref="K126:K127" si="333">IF(I126&lt;=10000,100,IF(AND(I126&gt;10000,I126&lt;20000),200,300))</f>
        <v>100</v>
      </c>
      <c r="L126" s="4">
        <v>200</v>
      </c>
      <c r="M126" s="10">
        <f t="shared" ref="M126:M127" si="334">SUM(J126:L126)</f>
        <v>737.5</v>
      </c>
      <c r="N126" s="11">
        <f t="shared" ref="N126:N127" si="335">I126-M126</f>
        <v>5387.5</v>
      </c>
    </row>
    <row r="127" spans="1:14" x14ac:dyDescent="0.25">
      <c r="A127" s="3" t="s">
        <v>147</v>
      </c>
      <c r="B127" s="4" t="s">
        <v>23</v>
      </c>
      <c r="C127" s="4" t="s">
        <v>24</v>
      </c>
      <c r="D127" s="3" t="s">
        <v>17</v>
      </c>
      <c r="E127" s="4">
        <v>7500</v>
      </c>
      <c r="F127" s="5">
        <f t="shared" si="328"/>
        <v>3900</v>
      </c>
      <c r="G127" s="6">
        <f t="shared" si="329"/>
        <v>1875</v>
      </c>
      <c r="H127" s="5">
        <f t="shared" si="330"/>
        <v>600</v>
      </c>
      <c r="I127" s="7">
        <f t="shared" si="331"/>
        <v>13875</v>
      </c>
      <c r="J127" s="8">
        <f t="shared" si="332"/>
        <v>937.5</v>
      </c>
      <c r="K127" s="5">
        <f t="shared" si="333"/>
        <v>200</v>
      </c>
      <c r="L127" s="4">
        <v>3500</v>
      </c>
      <c r="M127" s="10">
        <f t="shared" si="334"/>
        <v>4637.5</v>
      </c>
      <c r="N127" s="11">
        <f t="shared" si="335"/>
        <v>9237.5</v>
      </c>
    </row>
    <row r="128" spans="1:14" x14ac:dyDescent="0.25">
      <c r="A128" s="3" t="s">
        <v>148</v>
      </c>
      <c r="B128" s="4" t="s">
        <v>15</v>
      </c>
      <c r="C128" s="4" t="s">
        <v>16</v>
      </c>
      <c r="D128" s="3" t="s">
        <v>17</v>
      </c>
      <c r="E128" s="4">
        <v>18050</v>
      </c>
      <c r="F128" s="5">
        <f>E128*52%</f>
        <v>9386</v>
      </c>
      <c r="G128" s="6">
        <f>IF(D128="A",E128*25%,IF(D128="B",E128*15%,E128*10%))</f>
        <v>4512.5</v>
      </c>
      <c r="H128" s="5">
        <f>E128*8%</f>
        <v>1444</v>
      </c>
      <c r="I128" s="7">
        <f>SUM(E128:H128)</f>
        <v>33392.5</v>
      </c>
      <c r="J128" s="8">
        <f>E128*12.5%</f>
        <v>2256.25</v>
      </c>
      <c r="K128" s="5">
        <f>IF(I128&lt;=10000,100,IF(AND(I128&gt;10000,I128&lt;20000),200,300))</f>
        <v>300</v>
      </c>
      <c r="L128" s="9">
        <v>500</v>
      </c>
      <c r="M128" s="10">
        <f>SUM(J128:L128)</f>
        <v>3056.25</v>
      </c>
      <c r="N128" s="11">
        <f>I128-M128</f>
        <v>30336.25</v>
      </c>
    </row>
    <row r="129" spans="1:14" x14ac:dyDescent="0.25">
      <c r="A129" s="3" t="s">
        <v>149</v>
      </c>
      <c r="B129" s="4" t="s">
        <v>19</v>
      </c>
      <c r="C129" s="4" t="s">
        <v>20</v>
      </c>
      <c r="D129" s="3" t="s">
        <v>21</v>
      </c>
      <c r="E129" s="4">
        <v>3500</v>
      </c>
      <c r="F129" s="5">
        <f t="shared" ref="F129:F130" si="336">E129*52%</f>
        <v>1820</v>
      </c>
      <c r="G129" s="6">
        <f t="shared" ref="G129:G130" si="337">IF(D129="A",E129*25%,IF(D129="B",E129*15%,E129*10%))</f>
        <v>525</v>
      </c>
      <c r="H129" s="5">
        <f t="shared" ref="H129:H130" si="338">E129*8%</f>
        <v>280</v>
      </c>
      <c r="I129" s="7">
        <f t="shared" ref="I129:I130" si="339">SUM(E129:H129)</f>
        <v>6125</v>
      </c>
      <c r="J129" s="8">
        <f t="shared" ref="J129:J130" si="340">E129*12.5%</f>
        <v>437.5</v>
      </c>
      <c r="K129" s="5">
        <f t="shared" ref="K129:K130" si="341">IF(I129&lt;=10000,100,IF(AND(I129&gt;10000,I129&lt;20000),200,300))</f>
        <v>100</v>
      </c>
      <c r="L129" s="4">
        <v>200</v>
      </c>
      <c r="M129" s="10">
        <f t="shared" ref="M129:M130" si="342">SUM(J129:L129)</f>
        <v>737.5</v>
      </c>
      <c r="N129" s="11">
        <f t="shared" ref="N129:N130" si="343">I129-M129</f>
        <v>5387.5</v>
      </c>
    </row>
    <row r="130" spans="1:14" x14ac:dyDescent="0.25">
      <c r="A130" s="3" t="s">
        <v>150</v>
      </c>
      <c r="B130" s="4" t="s">
        <v>23</v>
      </c>
      <c r="C130" s="4" t="s">
        <v>24</v>
      </c>
      <c r="D130" s="3" t="s">
        <v>17</v>
      </c>
      <c r="E130" s="4">
        <v>7500</v>
      </c>
      <c r="F130" s="5">
        <f t="shared" si="336"/>
        <v>3900</v>
      </c>
      <c r="G130" s="6">
        <f t="shared" si="337"/>
        <v>1875</v>
      </c>
      <c r="H130" s="5">
        <f t="shared" si="338"/>
        <v>600</v>
      </c>
      <c r="I130" s="7">
        <f t="shared" si="339"/>
        <v>13875</v>
      </c>
      <c r="J130" s="8">
        <f t="shared" si="340"/>
        <v>937.5</v>
      </c>
      <c r="K130" s="5">
        <f t="shared" si="341"/>
        <v>200</v>
      </c>
      <c r="L130" s="4">
        <v>3500</v>
      </c>
      <c r="M130" s="10">
        <f t="shared" si="342"/>
        <v>4637.5</v>
      </c>
      <c r="N130" s="11">
        <f t="shared" si="343"/>
        <v>9237.5</v>
      </c>
    </row>
    <row r="131" spans="1:14" x14ac:dyDescent="0.25">
      <c r="A131" s="3" t="s">
        <v>151</v>
      </c>
      <c r="B131" s="4" t="s">
        <v>15</v>
      </c>
      <c r="C131" s="4" t="s">
        <v>16</v>
      </c>
      <c r="D131" s="3" t="s">
        <v>17</v>
      </c>
      <c r="E131" s="4">
        <v>18050</v>
      </c>
      <c r="F131" s="5">
        <f>E131*52%</f>
        <v>9386</v>
      </c>
      <c r="G131" s="6">
        <f>IF(D131="A",E131*25%,IF(D131="B",E131*15%,E131*10%))</f>
        <v>4512.5</v>
      </c>
      <c r="H131" s="5">
        <f>E131*8%</f>
        <v>1444</v>
      </c>
      <c r="I131" s="7">
        <f>SUM(E131:H131)</f>
        <v>33392.5</v>
      </c>
      <c r="J131" s="8">
        <f>E131*12.5%</f>
        <v>2256.25</v>
      </c>
      <c r="K131" s="5">
        <f>IF(I131&lt;=10000,100,IF(AND(I131&gt;10000,I131&lt;20000),200,300))</f>
        <v>300</v>
      </c>
      <c r="L131" s="9">
        <v>500</v>
      </c>
      <c r="M131" s="10">
        <f>SUM(J131:L131)</f>
        <v>3056.25</v>
      </c>
      <c r="N131" s="11">
        <f>I131-M131</f>
        <v>30336.25</v>
      </c>
    </row>
    <row r="132" spans="1:14" x14ac:dyDescent="0.25">
      <c r="A132" s="3" t="s">
        <v>152</v>
      </c>
      <c r="B132" s="4" t="s">
        <v>19</v>
      </c>
      <c r="C132" s="4" t="s">
        <v>20</v>
      </c>
      <c r="D132" s="3" t="s">
        <v>21</v>
      </c>
      <c r="E132" s="4">
        <v>3500</v>
      </c>
      <c r="F132" s="5">
        <f t="shared" ref="F132:F133" si="344">E132*52%</f>
        <v>1820</v>
      </c>
      <c r="G132" s="6">
        <f t="shared" ref="G132:G133" si="345">IF(D132="A",E132*25%,IF(D132="B",E132*15%,E132*10%))</f>
        <v>525</v>
      </c>
      <c r="H132" s="5">
        <f t="shared" ref="H132:H133" si="346">E132*8%</f>
        <v>280</v>
      </c>
      <c r="I132" s="7">
        <f t="shared" ref="I132:I133" si="347">SUM(E132:H132)</f>
        <v>6125</v>
      </c>
      <c r="J132" s="8">
        <f t="shared" ref="J132:J133" si="348">E132*12.5%</f>
        <v>437.5</v>
      </c>
      <c r="K132" s="5">
        <f t="shared" ref="K132:K133" si="349">IF(I132&lt;=10000,100,IF(AND(I132&gt;10000,I132&lt;20000),200,300))</f>
        <v>100</v>
      </c>
      <c r="L132" s="4">
        <v>200</v>
      </c>
      <c r="M132" s="10">
        <f t="shared" ref="M132:M133" si="350">SUM(J132:L132)</f>
        <v>737.5</v>
      </c>
      <c r="N132" s="11">
        <f t="shared" ref="N132:N133" si="351">I132-M132</f>
        <v>5387.5</v>
      </c>
    </row>
    <row r="133" spans="1:14" x14ac:dyDescent="0.25">
      <c r="A133" s="3" t="s">
        <v>153</v>
      </c>
      <c r="B133" s="4" t="s">
        <v>23</v>
      </c>
      <c r="C133" s="4" t="s">
        <v>24</v>
      </c>
      <c r="D133" s="3" t="s">
        <v>17</v>
      </c>
      <c r="E133" s="4">
        <v>7500</v>
      </c>
      <c r="F133" s="5">
        <f t="shared" si="344"/>
        <v>3900</v>
      </c>
      <c r="G133" s="6">
        <f t="shared" si="345"/>
        <v>1875</v>
      </c>
      <c r="H133" s="5">
        <f t="shared" si="346"/>
        <v>600</v>
      </c>
      <c r="I133" s="7">
        <f t="shared" si="347"/>
        <v>13875</v>
      </c>
      <c r="J133" s="8">
        <f t="shared" si="348"/>
        <v>937.5</v>
      </c>
      <c r="K133" s="5">
        <f t="shared" si="349"/>
        <v>200</v>
      </c>
      <c r="L133" s="4">
        <v>3500</v>
      </c>
      <c r="M133" s="10">
        <f t="shared" si="350"/>
        <v>4637.5</v>
      </c>
      <c r="N133" s="11">
        <f t="shared" si="351"/>
        <v>9237.5</v>
      </c>
    </row>
    <row r="134" spans="1:14" x14ac:dyDescent="0.25">
      <c r="A134" s="3" t="s">
        <v>154</v>
      </c>
      <c r="B134" s="4" t="s">
        <v>15</v>
      </c>
      <c r="C134" s="4" t="s">
        <v>16</v>
      </c>
      <c r="D134" s="3" t="s">
        <v>17</v>
      </c>
      <c r="E134" s="4">
        <v>18050</v>
      </c>
      <c r="F134" s="5">
        <f>E134*52%</f>
        <v>9386</v>
      </c>
      <c r="G134" s="6">
        <f>IF(D134="A",E134*25%,IF(D134="B",E134*15%,E134*10%))</f>
        <v>4512.5</v>
      </c>
      <c r="H134" s="5">
        <f>E134*8%</f>
        <v>1444</v>
      </c>
      <c r="I134" s="7">
        <f>SUM(E134:H134)</f>
        <v>33392.5</v>
      </c>
      <c r="J134" s="8">
        <f>E134*12.5%</f>
        <v>2256.25</v>
      </c>
      <c r="K134" s="5">
        <f>IF(I134&lt;=10000,100,IF(AND(I134&gt;10000,I134&lt;20000),200,300))</f>
        <v>300</v>
      </c>
      <c r="L134" s="9">
        <v>500</v>
      </c>
      <c r="M134" s="10">
        <f>SUM(J134:L134)</f>
        <v>3056.25</v>
      </c>
      <c r="N134" s="11">
        <f>I134-M134</f>
        <v>30336.25</v>
      </c>
    </row>
    <row r="135" spans="1:14" x14ac:dyDescent="0.25">
      <c r="A135" s="3" t="s">
        <v>155</v>
      </c>
      <c r="B135" s="4" t="s">
        <v>19</v>
      </c>
      <c r="C135" s="4" t="s">
        <v>20</v>
      </c>
      <c r="D135" s="3" t="s">
        <v>21</v>
      </c>
      <c r="E135" s="4">
        <v>3500</v>
      </c>
      <c r="F135" s="5">
        <f t="shared" ref="F135:F136" si="352">E135*52%</f>
        <v>1820</v>
      </c>
      <c r="G135" s="6">
        <f t="shared" ref="G135:G136" si="353">IF(D135="A",E135*25%,IF(D135="B",E135*15%,E135*10%))</f>
        <v>525</v>
      </c>
      <c r="H135" s="5">
        <f t="shared" ref="H135:H136" si="354">E135*8%</f>
        <v>280</v>
      </c>
      <c r="I135" s="7">
        <f t="shared" ref="I135:I136" si="355">SUM(E135:H135)</f>
        <v>6125</v>
      </c>
      <c r="J135" s="8">
        <f t="shared" ref="J135:J136" si="356">E135*12.5%</f>
        <v>437.5</v>
      </c>
      <c r="K135" s="5">
        <f t="shared" ref="K135:K136" si="357">IF(I135&lt;=10000,100,IF(AND(I135&gt;10000,I135&lt;20000),200,300))</f>
        <v>100</v>
      </c>
      <c r="L135" s="4">
        <v>200</v>
      </c>
      <c r="M135" s="10">
        <f t="shared" ref="M135:M136" si="358">SUM(J135:L135)</f>
        <v>737.5</v>
      </c>
      <c r="N135" s="11">
        <f t="shared" ref="N135:N136" si="359">I135-M135</f>
        <v>5387.5</v>
      </c>
    </row>
    <row r="136" spans="1:14" x14ac:dyDescent="0.25">
      <c r="A136" s="3" t="s">
        <v>156</v>
      </c>
      <c r="B136" s="4" t="s">
        <v>23</v>
      </c>
      <c r="C136" s="4" t="s">
        <v>24</v>
      </c>
      <c r="D136" s="3" t="s">
        <v>17</v>
      </c>
      <c r="E136" s="4">
        <v>7500</v>
      </c>
      <c r="F136" s="5">
        <f t="shared" si="352"/>
        <v>3900</v>
      </c>
      <c r="G136" s="6">
        <f t="shared" si="353"/>
        <v>1875</v>
      </c>
      <c r="H136" s="5">
        <f t="shared" si="354"/>
        <v>600</v>
      </c>
      <c r="I136" s="7">
        <f t="shared" si="355"/>
        <v>13875</v>
      </c>
      <c r="J136" s="8">
        <f t="shared" si="356"/>
        <v>937.5</v>
      </c>
      <c r="K136" s="5">
        <f t="shared" si="357"/>
        <v>200</v>
      </c>
      <c r="L136" s="4">
        <v>3500</v>
      </c>
      <c r="M136" s="10">
        <f t="shared" si="358"/>
        <v>4637.5</v>
      </c>
      <c r="N136" s="11">
        <f t="shared" si="359"/>
        <v>9237.5</v>
      </c>
    </row>
    <row r="137" spans="1:14" x14ac:dyDescent="0.25">
      <c r="A137" s="3" t="s">
        <v>157</v>
      </c>
      <c r="B137" s="4" t="s">
        <v>15</v>
      </c>
      <c r="C137" s="4" t="s">
        <v>16</v>
      </c>
      <c r="D137" s="3" t="s">
        <v>17</v>
      </c>
      <c r="E137" s="4">
        <v>18050</v>
      </c>
      <c r="F137" s="5">
        <f>E137*52%</f>
        <v>9386</v>
      </c>
      <c r="G137" s="6">
        <f>IF(D137="A",E137*25%,IF(D137="B",E137*15%,E137*10%))</f>
        <v>4512.5</v>
      </c>
      <c r="H137" s="5">
        <f>E137*8%</f>
        <v>1444</v>
      </c>
      <c r="I137" s="7">
        <f>SUM(E137:H137)</f>
        <v>33392.5</v>
      </c>
      <c r="J137" s="8">
        <f>E137*12.5%</f>
        <v>2256.25</v>
      </c>
      <c r="K137" s="5">
        <f>IF(I137&lt;=10000,100,IF(AND(I137&gt;10000,I137&lt;20000),200,300))</f>
        <v>300</v>
      </c>
      <c r="L137" s="9">
        <v>500</v>
      </c>
      <c r="M137" s="10">
        <f>SUM(J137:L137)</f>
        <v>3056.25</v>
      </c>
      <c r="N137" s="11">
        <f>I137-M137</f>
        <v>30336.25</v>
      </c>
    </row>
    <row r="138" spans="1:14" x14ac:dyDescent="0.25">
      <c r="A138" s="3" t="s">
        <v>158</v>
      </c>
      <c r="B138" s="4" t="s">
        <v>19</v>
      </c>
      <c r="C138" s="4" t="s">
        <v>20</v>
      </c>
      <c r="D138" s="3" t="s">
        <v>21</v>
      </c>
      <c r="E138" s="4">
        <v>3500</v>
      </c>
      <c r="F138" s="5">
        <f t="shared" ref="F138:F139" si="360">E138*52%</f>
        <v>1820</v>
      </c>
      <c r="G138" s="6">
        <f t="shared" ref="G138:G139" si="361">IF(D138="A",E138*25%,IF(D138="B",E138*15%,E138*10%))</f>
        <v>525</v>
      </c>
      <c r="H138" s="5">
        <f t="shared" ref="H138:H139" si="362">E138*8%</f>
        <v>280</v>
      </c>
      <c r="I138" s="7">
        <f t="shared" ref="I138:I139" si="363">SUM(E138:H138)</f>
        <v>6125</v>
      </c>
      <c r="J138" s="8">
        <f t="shared" ref="J138:J139" si="364">E138*12.5%</f>
        <v>437.5</v>
      </c>
      <c r="K138" s="5">
        <f t="shared" ref="K138:K139" si="365">IF(I138&lt;=10000,100,IF(AND(I138&gt;10000,I138&lt;20000),200,300))</f>
        <v>100</v>
      </c>
      <c r="L138" s="4">
        <v>200</v>
      </c>
      <c r="M138" s="10">
        <f t="shared" ref="M138:M139" si="366">SUM(J138:L138)</f>
        <v>737.5</v>
      </c>
      <c r="N138" s="11">
        <f t="shared" ref="N138:N139" si="367">I138-M138</f>
        <v>5387.5</v>
      </c>
    </row>
    <row r="139" spans="1:14" x14ac:dyDescent="0.25">
      <c r="A139" s="3" t="s">
        <v>159</v>
      </c>
      <c r="B139" s="4" t="s">
        <v>23</v>
      </c>
      <c r="C139" s="4" t="s">
        <v>24</v>
      </c>
      <c r="D139" s="3" t="s">
        <v>17</v>
      </c>
      <c r="E139" s="4">
        <v>7500</v>
      </c>
      <c r="F139" s="5">
        <f t="shared" si="360"/>
        <v>3900</v>
      </c>
      <c r="G139" s="6">
        <f t="shared" si="361"/>
        <v>1875</v>
      </c>
      <c r="H139" s="5">
        <f t="shared" si="362"/>
        <v>600</v>
      </c>
      <c r="I139" s="7">
        <f t="shared" si="363"/>
        <v>13875</v>
      </c>
      <c r="J139" s="8">
        <f t="shared" si="364"/>
        <v>937.5</v>
      </c>
      <c r="K139" s="5">
        <f t="shared" si="365"/>
        <v>200</v>
      </c>
      <c r="L139" s="4">
        <v>3500</v>
      </c>
      <c r="M139" s="10">
        <f t="shared" si="366"/>
        <v>4637.5</v>
      </c>
      <c r="N139" s="11">
        <f t="shared" si="367"/>
        <v>9237.5</v>
      </c>
    </row>
    <row r="140" spans="1:14" x14ac:dyDescent="0.25">
      <c r="A140" s="3" t="s">
        <v>160</v>
      </c>
      <c r="B140" s="4" t="s">
        <v>15</v>
      </c>
      <c r="C140" s="4" t="s">
        <v>16</v>
      </c>
      <c r="D140" s="3" t="s">
        <v>17</v>
      </c>
      <c r="E140" s="4">
        <v>18050</v>
      </c>
      <c r="F140" s="5">
        <f>E140*52%</f>
        <v>9386</v>
      </c>
      <c r="G140" s="6">
        <f>IF(D140="A",E140*25%,IF(D140="B",E140*15%,E140*10%))</f>
        <v>4512.5</v>
      </c>
      <c r="H140" s="5">
        <f>E140*8%</f>
        <v>1444</v>
      </c>
      <c r="I140" s="7">
        <f>SUM(E140:H140)</f>
        <v>33392.5</v>
      </c>
      <c r="J140" s="8">
        <f>E140*12.5%</f>
        <v>2256.25</v>
      </c>
      <c r="K140" s="5">
        <f>IF(I140&lt;=10000,100,IF(AND(I140&gt;10000,I140&lt;20000),200,300))</f>
        <v>300</v>
      </c>
      <c r="L140" s="9">
        <v>500</v>
      </c>
      <c r="M140" s="10">
        <f>SUM(J140:L140)</f>
        <v>3056.25</v>
      </c>
      <c r="N140" s="11">
        <f>I140-M140</f>
        <v>30336.25</v>
      </c>
    </row>
    <row r="141" spans="1:14" x14ac:dyDescent="0.25">
      <c r="A141" s="3" t="s">
        <v>161</v>
      </c>
      <c r="B141" s="4" t="s">
        <v>19</v>
      </c>
      <c r="C141" s="4" t="s">
        <v>20</v>
      </c>
      <c r="D141" s="3" t="s">
        <v>21</v>
      </c>
      <c r="E141" s="4">
        <v>3500</v>
      </c>
      <c r="F141" s="5">
        <f t="shared" ref="F141:F142" si="368">E141*52%</f>
        <v>1820</v>
      </c>
      <c r="G141" s="6">
        <f t="shared" ref="G141:G142" si="369">IF(D141="A",E141*25%,IF(D141="B",E141*15%,E141*10%))</f>
        <v>525</v>
      </c>
      <c r="H141" s="5">
        <f t="shared" ref="H141:H142" si="370">E141*8%</f>
        <v>280</v>
      </c>
      <c r="I141" s="7">
        <f t="shared" ref="I141:I142" si="371">SUM(E141:H141)</f>
        <v>6125</v>
      </c>
      <c r="J141" s="8">
        <f t="shared" ref="J141:J142" si="372">E141*12.5%</f>
        <v>437.5</v>
      </c>
      <c r="K141" s="5">
        <f t="shared" ref="K141:K142" si="373">IF(I141&lt;=10000,100,IF(AND(I141&gt;10000,I141&lt;20000),200,300))</f>
        <v>100</v>
      </c>
      <c r="L141" s="4">
        <v>200</v>
      </c>
      <c r="M141" s="10">
        <f t="shared" ref="M141:M142" si="374">SUM(J141:L141)</f>
        <v>737.5</v>
      </c>
      <c r="N141" s="11">
        <f t="shared" ref="N141:N142" si="375">I141-M141</f>
        <v>5387.5</v>
      </c>
    </row>
    <row r="142" spans="1:14" x14ac:dyDescent="0.25">
      <c r="A142" s="3" t="s">
        <v>162</v>
      </c>
      <c r="B142" s="4" t="s">
        <v>23</v>
      </c>
      <c r="C142" s="4" t="s">
        <v>24</v>
      </c>
      <c r="D142" s="3" t="s">
        <v>17</v>
      </c>
      <c r="E142" s="4">
        <v>7500</v>
      </c>
      <c r="F142" s="5">
        <f t="shared" si="368"/>
        <v>3900</v>
      </c>
      <c r="G142" s="6">
        <f t="shared" si="369"/>
        <v>1875</v>
      </c>
      <c r="H142" s="5">
        <f t="shared" si="370"/>
        <v>600</v>
      </c>
      <c r="I142" s="7">
        <f t="shared" si="371"/>
        <v>13875</v>
      </c>
      <c r="J142" s="8">
        <f t="shared" si="372"/>
        <v>937.5</v>
      </c>
      <c r="K142" s="5">
        <f t="shared" si="373"/>
        <v>200</v>
      </c>
      <c r="L142" s="4">
        <v>3500</v>
      </c>
      <c r="M142" s="10">
        <f t="shared" si="374"/>
        <v>4637.5</v>
      </c>
      <c r="N142" s="11">
        <f t="shared" si="375"/>
        <v>9237.5</v>
      </c>
    </row>
    <row r="143" spans="1:14" x14ac:dyDescent="0.25">
      <c r="A143" s="3" t="s">
        <v>163</v>
      </c>
      <c r="B143" s="4" t="s">
        <v>15</v>
      </c>
      <c r="C143" s="4" t="s">
        <v>16</v>
      </c>
      <c r="D143" s="3" t="s">
        <v>17</v>
      </c>
      <c r="E143" s="4">
        <v>18050</v>
      </c>
      <c r="F143" s="5">
        <f>E143*52%</f>
        <v>9386</v>
      </c>
      <c r="G143" s="6">
        <f>IF(D143="A",E143*25%,IF(D143="B",E143*15%,E143*10%))</f>
        <v>4512.5</v>
      </c>
      <c r="H143" s="5">
        <f>E143*8%</f>
        <v>1444</v>
      </c>
      <c r="I143" s="7">
        <f>SUM(E143:H143)</f>
        <v>33392.5</v>
      </c>
      <c r="J143" s="8">
        <f>E143*12.5%</f>
        <v>2256.25</v>
      </c>
      <c r="K143" s="5">
        <f>IF(I143&lt;=10000,100,IF(AND(I143&gt;10000,I143&lt;20000),200,300))</f>
        <v>300</v>
      </c>
      <c r="L143" s="9">
        <v>500</v>
      </c>
      <c r="M143" s="10">
        <f>SUM(J143:L143)</f>
        <v>3056.25</v>
      </c>
      <c r="N143" s="11">
        <f>I143-M143</f>
        <v>30336.25</v>
      </c>
    </row>
    <row r="144" spans="1:14" x14ac:dyDescent="0.25">
      <c r="A144" s="3" t="s">
        <v>164</v>
      </c>
      <c r="B144" s="4" t="s">
        <v>19</v>
      </c>
      <c r="C144" s="4" t="s">
        <v>20</v>
      </c>
      <c r="D144" s="3" t="s">
        <v>21</v>
      </c>
      <c r="E144" s="4">
        <v>3500</v>
      </c>
      <c r="F144" s="5">
        <f t="shared" ref="F144:F145" si="376">E144*52%</f>
        <v>1820</v>
      </c>
      <c r="G144" s="6">
        <f t="shared" ref="G144:G145" si="377">IF(D144="A",E144*25%,IF(D144="B",E144*15%,E144*10%))</f>
        <v>525</v>
      </c>
      <c r="H144" s="5">
        <f t="shared" ref="H144:H145" si="378">E144*8%</f>
        <v>280</v>
      </c>
      <c r="I144" s="7">
        <f t="shared" ref="I144:I145" si="379">SUM(E144:H144)</f>
        <v>6125</v>
      </c>
      <c r="J144" s="8">
        <f t="shared" ref="J144:J145" si="380">E144*12.5%</f>
        <v>437.5</v>
      </c>
      <c r="K144" s="5">
        <f t="shared" ref="K144:K145" si="381">IF(I144&lt;=10000,100,IF(AND(I144&gt;10000,I144&lt;20000),200,300))</f>
        <v>100</v>
      </c>
      <c r="L144" s="4">
        <v>200</v>
      </c>
      <c r="M144" s="10">
        <f t="shared" ref="M144:M145" si="382">SUM(J144:L144)</f>
        <v>737.5</v>
      </c>
      <c r="N144" s="11">
        <f t="shared" ref="N144:N145" si="383">I144-M144</f>
        <v>5387.5</v>
      </c>
    </row>
    <row r="145" spans="1:14" x14ac:dyDescent="0.25">
      <c r="A145" s="3" t="s">
        <v>165</v>
      </c>
      <c r="B145" s="4" t="s">
        <v>23</v>
      </c>
      <c r="C145" s="4" t="s">
        <v>24</v>
      </c>
      <c r="D145" s="3" t="s">
        <v>17</v>
      </c>
      <c r="E145" s="4">
        <v>7500</v>
      </c>
      <c r="F145" s="5">
        <f t="shared" si="376"/>
        <v>3900</v>
      </c>
      <c r="G145" s="6">
        <f t="shared" si="377"/>
        <v>1875</v>
      </c>
      <c r="H145" s="5">
        <f t="shared" si="378"/>
        <v>600</v>
      </c>
      <c r="I145" s="7">
        <f t="shared" si="379"/>
        <v>13875</v>
      </c>
      <c r="J145" s="8">
        <f t="shared" si="380"/>
        <v>937.5</v>
      </c>
      <c r="K145" s="5">
        <f t="shared" si="381"/>
        <v>200</v>
      </c>
      <c r="L145" s="4">
        <v>3500</v>
      </c>
      <c r="M145" s="10">
        <f t="shared" si="382"/>
        <v>4637.5</v>
      </c>
      <c r="N145" s="11">
        <f t="shared" si="383"/>
        <v>9237.5</v>
      </c>
    </row>
    <row r="146" spans="1:14" x14ac:dyDescent="0.25">
      <c r="A146" s="3" t="s">
        <v>166</v>
      </c>
      <c r="B146" s="4" t="s">
        <v>15</v>
      </c>
      <c r="C146" s="4" t="s">
        <v>16</v>
      </c>
      <c r="D146" s="3" t="s">
        <v>17</v>
      </c>
      <c r="E146" s="4">
        <v>18050</v>
      </c>
      <c r="F146" s="5">
        <f>E146*52%</f>
        <v>9386</v>
      </c>
      <c r="G146" s="6">
        <f>IF(D146="A",E146*25%,IF(D146="B",E146*15%,E146*10%))</f>
        <v>4512.5</v>
      </c>
      <c r="H146" s="5">
        <f>E146*8%</f>
        <v>1444</v>
      </c>
      <c r="I146" s="7">
        <f>SUM(E146:H146)</f>
        <v>33392.5</v>
      </c>
      <c r="J146" s="8">
        <f>E146*12.5%</f>
        <v>2256.25</v>
      </c>
      <c r="K146" s="5">
        <f>IF(I146&lt;=10000,100,IF(AND(I146&gt;10000,I146&lt;20000),200,300))</f>
        <v>300</v>
      </c>
      <c r="L146" s="9">
        <v>500</v>
      </c>
      <c r="M146" s="10">
        <f>SUM(J146:L146)</f>
        <v>3056.25</v>
      </c>
      <c r="N146" s="11">
        <f>I146-M146</f>
        <v>30336.25</v>
      </c>
    </row>
    <row r="147" spans="1:14" x14ac:dyDescent="0.25">
      <c r="A147" s="3" t="s">
        <v>167</v>
      </c>
      <c r="B147" s="4" t="s">
        <v>19</v>
      </c>
      <c r="C147" s="4" t="s">
        <v>20</v>
      </c>
      <c r="D147" s="3" t="s">
        <v>21</v>
      </c>
      <c r="E147" s="4">
        <v>3500</v>
      </c>
      <c r="F147" s="5">
        <f t="shared" ref="F147:F148" si="384">E147*52%</f>
        <v>1820</v>
      </c>
      <c r="G147" s="6">
        <f t="shared" ref="G147:G148" si="385">IF(D147="A",E147*25%,IF(D147="B",E147*15%,E147*10%))</f>
        <v>525</v>
      </c>
      <c r="H147" s="5">
        <f t="shared" ref="H147:H148" si="386">E147*8%</f>
        <v>280</v>
      </c>
      <c r="I147" s="7">
        <f t="shared" ref="I147:I148" si="387">SUM(E147:H147)</f>
        <v>6125</v>
      </c>
      <c r="J147" s="8">
        <f t="shared" ref="J147:J148" si="388">E147*12.5%</f>
        <v>437.5</v>
      </c>
      <c r="K147" s="5">
        <f t="shared" ref="K147:K148" si="389">IF(I147&lt;=10000,100,IF(AND(I147&gt;10000,I147&lt;20000),200,300))</f>
        <v>100</v>
      </c>
      <c r="L147" s="4">
        <v>200</v>
      </c>
      <c r="M147" s="10">
        <f t="shared" ref="M147:M148" si="390">SUM(J147:L147)</f>
        <v>737.5</v>
      </c>
      <c r="N147" s="11">
        <f t="shared" ref="N147:N148" si="391">I147-M147</f>
        <v>5387.5</v>
      </c>
    </row>
    <row r="148" spans="1:14" x14ac:dyDescent="0.25">
      <c r="A148" s="3" t="s">
        <v>168</v>
      </c>
      <c r="B148" s="4" t="s">
        <v>23</v>
      </c>
      <c r="C148" s="4" t="s">
        <v>24</v>
      </c>
      <c r="D148" s="3" t="s">
        <v>17</v>
      </c>
      <c r="E148" s="4">
        <v>7500</v>
      </c>
      <c r="F148" s="5">
        <f t="shared" si="384"/>
        <v>3900</v>
      </c>
      <c r="G148" s="6">
        <f t="shared" si="385"/>
        <v>1875</v>
      </c>
      <c r="H148" s="5">
        <f t="shared" si="386"/>
        <v>600</v>
      </c>
      <c r="I148" s="7">
        <f t="shared" si="387"/>
        <v>13875</v>
      </c>
      <c r="J148" s="8">
        <f t="shared" si="388"/>
        <v>937.5</v>
      </c>
      <c r="K148" s="5">
        <f t="shared" si="389"/>
        <v>200</v>
      </c>
      <c r="L148" s="4">
        <v>3500</v>
      </c>
      <c r="M148" s="10">
        <f t="shared" si="390"/>
        <v>4637.5</v>
      </c>
      <c r="N148" s="11">
        <f t="shared" si="391"/>
        <v>9237.5</v>
      </c>
    </row>
    <row r="149" spans="1:14" x14ac:dyDescent="0.25">
      <c r="A149" s="3" t="s">
        <v>169</v>
      </c>
      <c r="B149" s="4" t="s">
        <v>15</v>
      </c>
      <c r="C149" s="4" t="s">
        <v>16</v>
      </c>
      <c r="D149" s="3" t="s">
        <v>17</v>
      </c>
      <c r="E149" s="4">
        <v>18050</v>
      </c>
      <c r="F149" s="5">
        <f>E149*52%</f>
        <v>9386</v>
      </c>
      <c r="G149" s="6">
        <f>IF(D149="A",E149*25%,IF(D149="B",E149*15%,E149*10%))</f>
        <v>4512.5</v>
      </c>
      <c r="H149" s="5">
        <f>E149*8%</f>
        <v>1444</v>
      </c>
      <c r="I149" s="7">
        <f>SUM(E149:H149)</f>
        <v>33392.5</v>
      </c>
      <c r="J149" s="8">
        <f>E149*12.5%</f>
        <v>2256.25</v>
      </c>
      <c r="K149" s="5">
        <f>IF(I149&lt;=10000,100,IF(AND(I149&gt;10000,I149&lt;20000),200,300))</f>
        <v>300</v>
      </c>
      <c r="L149" s="9">
        <v>500</v>
      </c>
      <c r="M149" s="10">
        <f>SUM(J149:L149)</f>
        <v>3056.25</v>
      </c>
      <c r="N149" s="11">
        <f>I149-M149</f>
        <v>30336.25</v>
      </c>
    </row>
    <row r="150" spans="1:14" x14ac:dyDescent="0.25">
      <c r="A150" s="3" t="s">
        <v>170</v>
      </c>
      <c r="B150" s="4" t="s">
        <v>19</v>
      </c>
      <c r="C150" s="4" t="s">
        <v>20</v>
      </c>
      <c r="D150" s="3" t="s">
        <v>21</v>
      </c>
      <c r="E150" s="4">
        <v>3500</v>
      </c>
      <c r="F150" s="5">
        <f t="shared" ref="F150:F151" si="392">E150*52%</f>
        <v>1820</v>
      </c>
      <c r="G150" s="6">
        <f t="shared" ref="G150:G151" si="393">IF(D150="A",E150*25%,IF(D150="B",E150*15%,E150*10%))</f>
        <v>525</v>
      </c>
      <c r="H150" s="5">
        <f t="shared" ref="H150:H151" si="394">E150*8%</f>
        <v>280</v>
      </c>
      <c r="I150" s="7">
        <f t="shared" ref="I150:I151" si="395">SUM(E150:H150)</f>
        <v>6125</v>
      </c>
      <c r="J150" s="8">
        <f t="shared" ref="J150:J151" si="396">E150*12.5%</f>
        <v>437.5</v>
      </c>
      <c r="K150" s="5">
        <f t="shared" ref="K150:K151" si="397">IF(I150&lt;=10000,100,IF(AND(I150&gt;10000,I150&lt;20000),200,300))</f>
        <v>100</v>
      </c>
      <c r="L150" s="4">
        <v>200</v>
      </c>
      <c r="M150" s="10">
        <f t="shared" ref="M150:M151" si="398">SUM(J150:L150)</f>
        <v>737.5</v>
      </c>
      <c r="N150" s="11">
        <f t="shared" ref="N150:N151" si="399">I150-M150</f>
        <v>5387.5</v>
      </c>
    </row>
    <row r="151" spans="1:14" x14ac:dyDescent="0.25">
      <c r="A151" s="3" t="s">
        <v>171</v>
      </c>
      <c r="B151" s="4" t="s">
        <v>23</v>
      </c>
      <c r="C151" s="4" t="s">
        <v>24</v>
      </c>
      <c r="D151" s="3" t="s">
        <v>17</v>
      </c>
      <c r="E151" s="4">
        <v>7500</v>
      </c>
      <c r="F151" s="5">
        <f t="shared" si="392"/>
        <v>3900</v>
      </c>
      <c r="G151" s="6">
        <f t="shared" si="393"/>
        <v>1875</v>
      </c>
      <c r="H151" s="5">
        <f t="shared" si="394"/>
        <v>600</v>
      </c>
      <c r="I151" s="7">
        <f t="shared" si="395"/>
        <v>13875</v>
      </c>
      <c r="J151" s="8">
        <f t="shared" si="396"/>
        <v>937.5</v>
      </c>
      <c r="K151" s="5">
        <f t="shared" si="397"/>
        <v>200</v>
      </c>
      <c r="L151" s="4">
        <v>3500</v>
      </c>
      <c r="M151" s="10">
        <f t="shared" si="398"/>
        <v>4637.5</v>
      </c>
      <c r="N151" s="11">
        <f t="shared" si="399"/>
        <v>9237.5</v>
      </c>
    </row>
    <row r="152" spans="1:14" x14ac:dyDescent="0.25">
      <c r="A152" s="3" t="s">
        <v>172</v>
      </c>
      <c r="B152" s="4" t="s">
        <v>15</v>
      </c>
      <c r="C152" s="4" t="s">
        <v>16</v>
      </c>
      <c r="D152" s="3" t="s">
        <v>17</v>
      </c>
      <c r="E152" s="4">
        <v>18050</v>
      </c>
      <c r="F152" s="5">
        <f>E152*52%</f>
        <v>9386</v>
      </c>
      <c r="G152" s="6">
        <f>IF(D152="A",E152*25%,IF(D152="B",E152*15%,E152*10%))</f>
        <v>4512.5</v>
      </c>
      <c r="H152" s="5">
        <f>E152*8%</f>
        <v>1444</v>
      </c>
      <c r="I152" s="7">
        <f>SUM(E152:H152)</f>
        <v>33392.5</v>
      </c>
      <c r="J152" s="8">
        <f>E152*12.5%</f>
        <v>2256.25</v>
      </c>
      <c r="K152" s="5">
        <f>IF(I152&lt;=10000,100,IF(AND(I152&gt;10000,I152&lt;20000),200,300))</f>
        <v>300</v>
      </c>
      <c r="L152" s="9">
        <v>500</v>
      </c>
      <c r="M152" s="10">
        <f>SUM(J152:L152)</f>
        <v>3056.25</v>
      </c>
      <c r="N152" s="11">
        <f>I152-M152</f>
        <v>30336.25</v>
      </c>
    </row>
    <row r="153" spans="1:14" x14ac:dyDescent="0.25">
      <c r="A153" s="3" t="s">
        <v>173</v>
      </c>
      <c r="B153" s="4" t="s">
        <v>19</v>
      </c>
      <c r="C153" s="4" t="s">
        <v>20</v>
      </c>
      <c r="D153" s="3" t="s">
        <v>21</v>
      </c>
      <c r="E153" s="4">
        <v>3500</v>
      </c>
      <c r="F153" s="5">
        <f t="shared" ref="F153:F154" si="400">E153*52%</f>
        <v>1820</v>
      </c>
      <c r="G153" s="6">
        <f t="shared" ref="G153:G154" si="401">IF(D153="A",E153*25%,IF(D153="B",E153*15%,E153*10%))</f>
        <v>525</v>
      </c>
      <c r="H153" s="5">
        <f t="shared" ref="H153:H154" si="402">E153*8%</f>
        <v>280</v>
      </c>
      <c r="I153" s="7">
        <f t="shared" ref="I153:I154" si="403">SUM(E153:H153)</f>
        <v>6125</v>
      </c>
      <c r="J153" s="8">
        <f t="shared" ref="J153:J154" si="404">E153*12.5%</f>
        <v>437.5</v>
      </c>
      <c r="K153" s="5">
        <f t="shared" ref="K153:K154" si="405">IF(I153&lt;=10000,100,IF(AND(I153&gt;10000,I153&lt;20000),200,300))</f>
        <v>100</v>
      </c>
      <c r="L153" s="4">
        <v>200</v>
      </c>
      <c r="M153" s="10">
        <f t="shared" ref="M153:M154" si="406">SUM(J153:L153)</f>
        <v>737.5</v>
      </c>
      <c r="N153" s="11">
        <f t="shared" ref="N153:N154" si="407">I153-M153</f>
        <v>5387.5</v>
      </c>
    </row>
    <row r="154" spans="1:14" x14ac:dyDescent="0.25">
      <c r="A154" s="3" t="s">
        <v>174</v>
      </c>
      <c r="B154" s="4" t="s">
        <v>23</v>
      </c>
      <c r="C154" s="4" t="s">
        <v>24</v>
      </c>
      <c r="D154" s="3" t="s">
        <v>17</v>
      </c>
      <c r="E154" s="4">
        <v>7500</v>
      </c>
      <c r="F154" s="5">
        <f t="shared" si="400"/>
        <v>3900</v>
      </c>
      <c r="G154" s="6">
        <f t="shared" si="401"/>
        <v>1875</v>
      </c>
      <c r="H154" s="5">
        <f t="shared" si="402"/>
        <v>600</v>
      </c>
      <c r="I154" s="7">
        <f t="shared" si="403"/>
        <v>13875</v>
      </c>
      <c r="J154" s="8">
        <f t="shared" si="404"/>
        <v>937.5</v>
      </c>
      <c r="K154" s="5">
        <f t="shared" si="405"/>
        <v>200</v>
      </c>
      <c r="L154" s="4">
        <v>3500</v>
      </c>
      <c r="M154" s="10">
        <f t="shared" si="406"/>
        <v>4637.5</v>
      </c>
      <c r="N154" s="11">
        <f t="shared" si="407"/>
        <v>9237.5</v>
      </c>
    </row>
    <row r="155" spans="1:14" x14ac:dyDescent="0.25">
      <c r="A155" s="3" t="s">
        <v>175</v>
      </c>
      <c r="B155" s="4" t="s">
        <v>15</v>
      </c>
      <c r="C155" s="4" t="s">
        <v>16</v>
      </c>
      <c r="D155" s="3" t="s">
        <v>17</v>
      </c>
      <c r="E155" s="4">
        <v>18050</v>
      </c>
      <c r="F155" s="5">
        <f>E155*52%</f>
        <v>9386</v>
      </c>
      <c r="G155" s="6">
        <f>IF(D155="A",E155*25%,IF(D155="B",E155*15%,E155*10%))</f>
        <v>4512.5</v>
      </c>
      <c r="H155" s="5">
        <f>E155*8%</f>
        <v>1444</v>
      </c>
      <c r="I155" s="7">
        <f>SUM(E155:H155)</f>
        <v>33392.5</v>
      </c>
      <c r="J155" s="8">
        <f>E155*12.5%</f>
        <v>2256.25</v>
      </c>
      <c r="K155" s="5">
        <f>IF(I155&lt;=10000,100,IF(AND(I155&gt;10000,I155&lt;20000),200,300))</f>
        <v>300</v>
      </c>
      <c r="L155" s="9">
        <v>500</v>
      </c>
      <c r="M155" s="10">
        <f>SUM(J155:L155)</f>
        <v>3056.25</v>
      </c>
      <c r="N155" s="11">
        <f>I155-M155</f>
        <v>30336.25</v>
      </c>
    </row>
    <row r="156" spans="1:14" x14ac:dyDescent="0.25">
      <c r="A156" s="3" t="s">
        <v>176</v>
      </c>
      <c r="B156" s="4" t="s">
        <v>19</v>
      </c>
      <c r="C156" s="4" t="s">
        <v>20</v>
      </c>
      <c r="D156" s="3" t="s">
        <v>21</v>
      </c>
      <c r="E156" s="4">
        <v>3500</v>
      </c>
      <c r="F156" s="5">
        <f t="shared" ref="F156:F157" si="408">E156*52%</f>
        <v>1820</v>
      </c>
      <c r="G156" s="6">
        <f t="shared" ref="G156:G157" si="409">IF(D156="A",E156*25%,IF(D156="B",E156*15%,E156*10%))</f>
        <v>525</v>
      </c>
      <c r="H156" s="5">
        <f t="shared" ref="H156:H157" si="410">E156*8%</f>
        <v>280</v>
      </c>
      <c r="I156" s="7">
        <f t="shared" ref="I156:I157" si="411">SUM(E156:H156)</f>
        <v>6125</v>
      </c>
      <c r="J156" s="8">
        <f t="shared" ref="J156:J157" si="412">E156*12.5%</f>
        <v>437.5</v>
      </c>
      <c r="K156" s="5">
        <f t="shared" ref="K156:K157" si="413">IF(I156&lt;=10000,100,IF(AND(I156&gt;10000,I156&lt;20000),200,300))</f>
        <v>100</v>
      </c>
      <c r="L156" s="4">
        <v>200</v>
      </c>
      <c r="M156" s="10">
        <f t="shared" ref="M156:M157" si="414">SUM(J156:L156)</f>
        <v>737.5</v>
      </c>
      <c r="N156" s="11">
        <f t="shared" ref="N156:N157" si="415">I156-M156</f>
        <v>5387.5</v>
      </c>
    </row>
    <row r="157" spans="1:14" x14ac:dyDescent="0.25">
      <c r="A157" s="3" t="s">
        <v>177</v>
      </c>
      <c r="B157" s="4" t="s">
        <v>23</v>
      </c>
      <c r="C157" s="4" t="s">
        <v>24</v>
      </c>
      <c r="D157" s="3" t="s">
        <v>17</v>
      </c>
      <c r="E157" s="4">
        <v>7500</v>
      </c>
      <c r="F157" s="5">
        <f t="shared" si="408"/>
        <v>3900</v>
      </c>
      <c r="G157" s="6">
        <f t="shared" si="409"/>
        <v>1875</v>
      </c>
      <c r="H157" s="5">
        <f t="shared" si="410"/>
        <v>600</v>
      </c>
      <c r="I157" s="7">
        <f t="shared" si="411"/>
        <v>13875</v>
      </c>
      <c r="J157" s="8">
        <f t="shared" si="412"/>
        <v>937.5</v>
      </c>
      <c r="K157" s="5">
        <f t="shared" si="413"/>
        <v>200</v>
      </c>
      <c r="L157" s="4">
        <v>3500</v>
      </c>
      <c r="M157" s="10">
        <f t="shared" si="414"/>
        <v>4637.5</v>
      </c>
      <c r="N157" s="11">
        <f t="shared" si="415"/>
        <v>9237.5</v>
      </c>
    </row>
    <row r="158" spans="1:14" x14ac:dyDescent="0.25">
      <c r="A158" s="3" t="s">
        <v>178</v>
      </c>
      <c r="B158" s="4" t="s">
        <v>15</v>
      </c>
      <c r="C158" s="4" t="s">
        <v>16</v>
      </c>
      <c r="D158" s="3" t="s">
        <v>17</v>
      </c>
      <c r="E158" s="4">
        <v>18050</v>
      </c>
      <c r="F158" s="5">
        <f>E158*52%</f>
        <v>9386</v>
      </c>
      <c r="G158" s="6">
        <f>IF(D158="A",E158*25%,IF(D158="B",E158*15%,E158*10%))</f>
        <v>4512.5</v>
      </c>
      <c r="H158" s="5">
        <f>E158*8%</f>
        <v>1444</v>
      </c>
      <c r="I158" s="7">
        <f>SUM(E158:H158)</f>
        <v>33392.5</v>
      </c>
      <c r="J158" s="8">
        <f>E158*12.5%</f>
        <v>2256.25</v>
      </c>
      <c r="K158" s="5">
        <f>IF(I158&lt;=10000,100,IF(AND(I158&gt;10000,I158&lt;20000),200,300))</f>
        <v>300</v>
      </c>
      <c r="L158" s="9">
        <v>500</v>
      </c>
      <c r="M158" s="10">
        <f>SUM(J158:L158)</f>
        <v>3056.25</v>
      </c>
      <c r="N158" s="11">
        <f>I158-M158</f>
        <v>30336.25</v>
      </c>
    </row>
    <row r="159" spans="1:14" x14ac:dyDescent="0.25">
      <c r="A159" s="3" t="s">
        <v>179</v>
      </c>
      <c r="B159" s="4" t="s">
        <v>19</v>
      </c>
      <c r="C159" s="4" t="s">
        <v>20</v>
      </c>
      <c r="D159" s="3" t="s">
        <v>21</v>
      </c>
      <c r="E159" s="4">
        <v>3500</v>
      </c>
      <c r="F159" s="5">
        <f t="shared" ref="F159:F160" si="416">E159*52%</f>
        <v>1820</v>
      </c>
      <c r="G159" s="6">
        <f t="shared" ref="G159:G160" si="417">IF(D159="A",E159*25%,IF(D159="B",E159*15%,E159*10%))</f>
        <v>525</v>
      </c>
      <c r="H159" s="5">
        <f t="shared" ref="H159:H160" si="418">E159*8%</f>
        <v>280</v>
      </c>
      <c r="I159" s="7">
        <f t="shared" ref="I159:I160" si="419">SUM(E159:H159)</f>
        <v>6125</v>
      </c>
      <c r="J159" s="8">
        <f t="shared" ref="J159:J160" si="420">E159*12.5%</f>
        <v>437.5</v>
      </c>
      <c r="K159" s="5">
        <f t="shared" ref="K159:K160" si="421">IF(I159&lt;=10000,100,IF(AND(I159&gt;10000,I159&lt;20000),200,300))</f>
        <v>100</v>
      </c>
      <c r="L159" s="4">
        <v>200</v>
      </c>
      <c r="M159" s="10">
        <f t="shared" ref="M159:M160" si="422">SUM(J159:L159)</f>
        <v>737.5</v>
      </c>
      <c r="N159" s="11">
        <f t="shared" ref="N159:N160" si="423">I159-M159</f>
        <v>5387.5</v>
      </c>
    </row>
    <row r="160" spans="1:14" x14ac:dyDescent="0.25">
      <c r="A160" s="3" t="s">
        <v>180</v>
      </c>
      <c r="B160" s="4" t="s">
        <v>23</v>
      </c>
      <c r="C160" s="4" t="s">
        <v>24</v>
      </c>
      <c r="D160" s="3" t="s">
        <v>17</v>
      </c>
      <c r="E160" s="4">
        <v>7500</v>
      </c>
      <c r="F160" s="5">
        <f t="shared" si="416"/>
        <v>3900</v>
      </c>
      <c r="G160" s="6">
        <f t="shared" si="417"/>
        <v>1875</v>
      </c>
      <c r="H160" s="5">
        <f t="shared" si="418"/>
        <v>600</v>
      </c>
      <c r="I160" s="7">
        <f t="shared" si="419"/>
        <v>13875</v>
      </c>
      <c r="J160" s="8">
        <f t="shared" si="420"/>
        <v>937.5</v>
      </c>
      <c r="K160" s="5">
        <f t="shared" si="421"/>
        <v>200</v>
      </c>
      <c r="L160" s="4">
        <v>3500</v>
      </c>
      <c r="M160" s="10">
        <f t="shared" si="422"/>
        <v>4637.5</v>
      </c>
      <c r="N160" s="11">
        <f t="shared" si="423"/>
        <v>9237.5</v>
      </c>
    </row>
    <row r="161" spans="1:14" x14ac:dyDescent="0.25">
      <c r="A161" s="3" t="s">
        <v>181</v>
      </c>
      <c r="B161" s="4" t="s">
        <v>15</v>
      </c>
      <c r="C161" s="4" t="s">
        <v>16</v>
      </c>
      <c r="D161" s="3" t="s">
        <v>17</v>
      </c>
      <c r="E161" s="4">
        <v>18050</v>
      </c>
      <c r="F161" s="5">
        <f>E161*52%</f>
        <v>9386</v>
      </c>
      <c r="G161" s="6">
        <f>IF(D161="A",E161*25%,IF(D161="B",E161*15%,E161*10%))</f>
        <v>4512.5</v>
      </c>
      <c r="H161" s="5">
        <f>E161*8%</f>
        <v>1444</v>
      </c>
      <c r="I161" s="7">
        <f>SUM(E161:H161)</f>
        <v>33392.5</v>
      </c>
      <c r="J161" s="8">
        <f>E161*12.5%</f>
        <v>2256.25</v>
      </c>
      <c r="K161" s="5">
        <f>IF(I161&lt;=10000,100,IF(AND(I161&gt;10000,I161&lt;20000),200,300))</f>
        <v>300</v>
      </c>
      <c r="L161" s="9">
        <v>500</v>
      </c>
      <c r="M161" s="10">
        <f>SUM(J161:L161)</f>
        <v>3056.25</v>
      </c>
      <c r="N161" s="11">
        <f>I161-M161</f>
        <v>30336.25</v>
      </c>
    </row>
    <row r="162" spans="1:14" x14ac:dyDescent="0.25">
      <c r="A162" s="3" t="s">
        <v>182</v>
      </c>
      <c r="B162" s="4" t="s">
        <v>19</v>
      </c>
      <c r="C162" s="4" t="s">
        <v>20</v>
      </c>
      <c r="D162" s="3" t="s">
        <v>21</v>
      </c>
      <c r="E162" s="4">
        <v>3500</v>
      </c>
      <c r="F162" s="5">
        <f t="shared" ref="F162:F163" si="424">E162*52%</f>
        <v>1820</v>
      </c>
      <c r="G162" s="6">
        <f t="shared" ref="G162:G163" si="425">IF(D162="A",E162*25%,IF(D162="B",E162*15%,E162*10%))</f>
        <v>525</v>
      </c>
      <c r="H162" s="5">
        <f t="shared" ref="H162:H163" si="426">E162*8%</f>
        <v>280</v>
      </c>
      <c r="I162" s="7">
        <f t="shared" ref="I162:I163" si="427">SUM(E162:H162)</f>
        <v>6125</v>
      </c>
      <c r="J162" s="8">
        <f t="shared" ref="J162:J163" si="428">E162*12.5%</f>
        <v>437.5</v>
      </c>
      <c r="K162" s="5">
        <f t="shared" ref="K162:K163" si="429">IF(I162&lt;=10000,100,IF(AND(I162&gt;10000,I162&lt;20000),200,300))</f>
        <v>100</v>
      </c>
      <c r="L162" s="4">
        <v>200</v>
      </c>
      <c r="M162" s="10">
        <f t="shared" ref="M162:M163" si="430">SUM(J162:L162)</f>
        <v>737.5</v>
      </c>
      <c r="N162" s="11">
        <f t="shared" ref="N162:N163" si="431">I162-M162</f>
        <v>5387.5</v>
      </c>
    </row>
    <row r="163" spans="1:14" x14ac:dyDescent="0.25">
      <c r="A163" s="3" t="s">
        <v>183</v>
      </c>
      <c r="B163" s="4" t="s">
        <v>23</v>
      </c>
      <c r="C163" s="4" t="s">
        <v>24</v>
      </c>
      <c r="D163" s="3" t="s">
        <v>17</v>
      </c>
      <c r="E163" s="4">
        <v>7500</v>
      </c>
      <c r="F163" s="5">
        <f t="shared" si="424"/>
        <v>3900</v>
      </c>
      <c r="G163" s="6">
        <f t="shared" si="425"/>
        <v>1875</v>
      </c>
      <c r="H163" s="5">
        <f t="shared" si="426"/>
        <v>600</v>
      </c>
      <c r="I163" s="7">
        <f t="shared" si="427"/>
        <v>13875</v>
      </c>
      <c r="J163" s="8">
        <f t="shared" si="428"/>
        <v>937.5</v>
      </c>
      <c r="K163" s="5">
        <f t="shared" si="429"/>
        <v>200</v>
      </c>
      <c r="L163" s="4">
        <v>3500</v>
      </c>
      <c r="M163" s="10">
        <f t="shared" si="430"/>
        <v>4637.5</v>
      </c>
      <c r="N163" s="11">
        <f t="shared" si="431"/>
        <v>9237.5</v>
      </c>
    </row>
    <row r="164" spans="1:14" x14ac:dyDescent="0.25">
      <c r="A164" s="3" t="s">
        <v>184</v>
      </c>
      <c r="B164" s="4" t="s">
        <v>15</v>
      </c>
      <c r="C164" s="4" t="s">
        <v>16</v>
      </c>
      <c r="D164" s="3" t="s">
        <v>17</v>
      </c>
      <c r="E164" s="4">
        <v>18050</v>
      </c>
      <c r="F164" s="5">
        <f>E164*52%</f>
        <v>9386</v>
      </c>
      <c r="G164" s="6">
        <f>IF(D164="A",E164*25%,IF(D164="B",E164*15%,E164*10%))</f>
        <v>4512.5</v>
      </c>
      <c r="H164" s="5">
        <f>E164*8%</f>
        <v>1444</v>
      </c>
      <c r="I164" s="7">
        <f>SUM(E164:H164)</f>
        <v>33392.5</v>
      </c>
      <c r="J164" s="8">
        <f>E164*12.5%</f>
        <v>2256.25</v>
      </c>
      <c r="K164" s="5">
        <f>IF(I164&lt;=10000,100,IF(AND(I164&gt;10000,I164&lt;20000),200,300))</f>
        <v>300</v>
      </c>
      <c r="L164" s="9">
        <v>500</v>
      </c>
      <c r="M164" s="10">
        <f>SUM(J164:L164)</f>
        <v>3056.25</v>
      </c>
      <c r="N164" s="11">
        <f>I164-M164</f>
        <v>30336.25</v>
      </c>
    </row>
    <row r="165" spans="1:14" x14ac:dyDescent="0.25">
      <c r="A165" s="3" t="s">
        <v>185</v>
      </c>
      <c r="B165" s="4" t="s">
        <v>19</v>
      </c>
      <c r="C165" s="4" t="s">
        <v>20</v>
      </c>
      <c r="D165" s="3" t="s">
        <v>21</v>
      </c>
      <c r="E165" s="4">
        <v>3500</v>
      </c>
      <c r="F165" s="5">
        <f t="shared" ref="F165:F166" si="432">E165*52%</f>
        <v>1820</v>
      </c>
      <c r="G165" s="6">
        <f t="shared" ref="G165:G166" si="433">IF(D165="A",E165*25%,IF(D165="B",E165*15%,E165*10%))</f>
        <v>525</v>
      </c>
      <c r="H165" s="5">
        <f t="shared" ref="H165:H166" si="434">E165*8%</f>
        <v>280</v>
      </c>
      <c r="I165" s="7">
        <f t="shared" ref="I165:I166" si="435">SUM(E165:H165)</f>
        <v>6125</v>
      </c>
      <c r="J165" s="8">
        <f t="shared" ref="J165:J166" si="436">E165*12.5%</f>
        <v>437.5</v>
      </c>
      <c r="K165" s="5">
        <f t="shared" ref="K165:K166" si="437">IF(I165&lt;=10000,100,IF(AND(I165&gt;10000,I165&lt;20000),200,300))</f>
        <v>100</v>
      </c>
      <c r="L165" s="4">
        <v>200</v>
      </c>
      <c r="M165" s="10">
        <f t="shared" ref="M165:M166" si="438">SUM(J165:L165)</f>
        <v>737.5</v>
      </c>
      <c r="N165" s="11">
        <f t="shared" ref="N165:N166" si="439">I165-M165</f>
        <v>5387.5</v>
      </c>
    </row>
    <row r="166" spans="1:14" x14ac:dyDescent="0.25">
      <c r="A166" s="3" t="s">
        <v>186</v>
      </c>
      <c r="B166" s="4" t="s">
        <v>23</v>
      </c>
      <c r="C166" s="4" t="s">
        <v>24</v>
      </c>
      <c r="D166" s="3" t="s">
        <v>17</v>
      </c>
      <c r="E166" s="4">
        <v>7500</v>
      </c>
      <c r="F166" s="5">
        <f t="shared" si="432"/>
        <v>3900</v>
      </c>
      <c r="G166" s="6">
        <f t="shared" si="433"/>
        <v>1875</v>
      </c>
      <c r="H166" s="5">
        <f t="shared" si="434"/>
        <v>600</v>
      </c>
      <c r="I166" s="7">
        <f t="shared" si="435"/>
        <v>13875</v>
      </c>
      <c r="J166" s="8">
        <f t="shared" si="436"/>
        <v>937.5</v>
      </c>
      <c r="K166" s="5">
        <f t="shared" si="437"/>
        <v>200</v>
      </c>
      <c r="L166" s="4">
        <v>3500</v>
      </c>
      <c r="M166" s="10">
        <f t="shared" si="438"/>
        <v>4637.5</v>
      </c>
      <c r="N166" s="11">
        <f t="shared" si="439"/>
        <v>9237.5</v>
      </c>
    </row>
    <row r="167" spans="1:14" x14ac:dyDescent="0.25">
      <c r="A167" s="3" t="s">
        <v>187</v>
      </c>
      <c r="B167" s="4" t="s">
        <v>15</v>
      </c>
      <c r="C167" s="4" t="s">
        <v>16</v>
      </c>
      <c r="D167" s="3" t="s">
        <v>17</v>
      </c>
      <c r="E167" s="4">
        <v>18050</v>
      </c>
      <c r="F167" s="5">
        <f>E167*52%</f>
        <v>9386</v>
      </c>
      <c r="G167" s="6">
        <f>IF(D167="A",E167*25%,IF(D167="B",E167*15%,E167*10%))</f>
        <v>4512.5</v>
      </c>
      <c r="H167" s="5">
        <f>E167*8%</f>
        <v>1444</v>
      </c>
      <c r="I167" s="7">
        <f>SUM(E167:H167)</f>
        <v>33392.5</v>
      </c>
      <c r="J167" s="8">
        <f>E167*12.5%</f>
        <v>2256.25</v>
      </c>
      <c r="K167" s="5">
        <f>IF(I167&lt;=10000,100,IF(AND(I167&gt;10000,I167&lt;20000),200,300))</f>
        <v>300</v>
      </c>
      <c r="L167" s="9">
        <v>500</v>
      </c>
      <c r="M167" s="10">
        <f>SUM(J167:L167)</f>
        <v>3056.25</v>
      </c>
      <c r="N167" s="11">
        <f>I167-M167</f>
        <v>30336.25</v>
      </c>
    </row>
    <row r="168" spans="1:14" x14ac:dyDescent="0.25">
      <c r="A168" s="3" t="s">
        <v>188</v>
      </c>
      <c r="B168" s="4" t="s">
        <v>19</v>
      </c>
      <c r="C168" s="4" t="s">
        <v>20</v>
      </c>
      <c r="D168" s="3" t="s">
        <v>21</v>
      </c>
      <c r="E168" s="4">
        <v>3500</v>
      </c>
      <c r="F168" s="5">
        <f t="shared" ref="F168:F169" si="440">E168*52%</f>
        <v>1820</v>
      </c>
      <c r="G168" s="6">
        <f t="shared" ref="G168:G169" si="441">IF(D168="A",E168*25%,IF(D168="B",E168*15%,E168*10%))</f>
        <v>525</v>
      </c>
      <c r="H168" s="5">
        <f t="shared" ref="H168:H169" si="442">E168*8%</f>
        <v>280</v>
      </c>
      <c r="I168" s="7">
        <f t="shared" ref="I168:I169" si="443">SUM(E168:H168)</f>
        <v>6125</v>
      </c>
      <c r="J168" s="8">
        <f t="shared" ref="J168:J169" si="444">E168*12.5%</f>
        <v>437.5</v>
      </c>
      <c r="K168" s="5">
        <f t="shared" ref="K168:K169" si="445">IF(I168&lt;=10000,100,IF(AND(I168&gt;10000,I168&lt;20000),200,300))</f>
        <v>100</v>
      </c>
      <c r="L168" s="4">
        <v>200</v>
      </c>
      <c r="M168" s="10">
        <f t="shared" ref="M168:M169" si="446">SUM(J168:L168)</f>
        <v>737.5</v>
      </c>
      <c r="N168" s="11">
        <f t="shared" ref="N168:N169" si="447">I168-M168</f>
        <v>5387.5</v>
      </c>
    </row>
    <row r="169" spans="1:14" x14ac:dyDescent="0.25">
      <c r="A169" s="3" t="s">
        <v>189</v>
      </c>
      <c r="B169" s="4" t="s">
        <v>23</v>
      </c>
      <c r="C169" s="4" t="s">
        <v>24</v>
      </c>
      <c r="D169" s="3" t="s">
        <v>17</v>
      </c>
      <c r="E169" s="4">
        <v>7500</v>
      </c>
      <c r="F169" s="5">
        <f t="shared" si="440"/>
        <v>3900</v>
      </c>
      <c r="G169" s="6">
        <f t="shared" si="441"/>
        <v>1875</v>
      </c>
      <c r="H169" s="5">
        <f t="shared" si="442"/>
        <v>600</v>
      </c>
      <c r="I169" s="7">
        <f t="shared" si="443"/>
        <v>13875</v>
      </c>
      <c r="J169" s="8">
        <f t="shared" si="444"/>
        <v>937.5</v>
      </c>
      <c r="K169" s="5">
        <f t="shared" si="445"/>
        <v>200</v>
      </c>
      <c r="L169" s="4">
        <v>3500</v>
      </c>
      <c r="M169" s="10">
        <f t="shared" si="446"/>
        <v>4637.5</v>
      </c>
      <c r="N169" s="11">
        <f t="shared" si="447"/>
        <v>9237.5</v>
      </c>
    </row>
    <row r="170" spans="1:14" x14ac:dyDescent="0.25">
      <c r="A170" s="3" t="s">
        <v>190</v>
      </c>
      <c r="B170" s="4" t="s">
        <v>15</v>
      </c>
      <c r="C170" s="4" t="s">
        <v>16</v>
      </c>
      <c r="D170" s="3" t="s">
        <v>17</v>
      </c>
      <c r="E170" s="4">
        <v>18050</v>
      </c>
      <c r="F170" s="5">
        <f>E170*52%</f>
        <v>9386</v>
      </c>
      <c r="G170" s="6">
        <f>IF(D170="A",E170*25%,IF(D170="B",E170*15%,E170*10%))</f>
        <v>4512.5</v>
      </c>
      <c r="H170" s="5">
        <f>E170*8%</f>
        <v>1444</v>
      </c>
      <c r="I170" s="7">
        <f>SUM(E170:H170)</f>
        <v>33392.5</v>
      </c>
      <c r="J170" s="8">
        <f>E170*12.5%</f>
        <v>2256.25</v>
      </c>
      <c r="K170" s="5">
        <f>IF(I170&lt;=10000,100,IF(AND(I170&gt;10000,I170&lt;20000),200,300))</f>
        <v>300</v>
      </c>
      <c r="L170" s="9">
        <v>500</v>
      </c>
      <c r="M170" s="10">
        <f>SUM(J170:L170)</f>
        <v>3056.25</v>
      </c>
      <c r="N170" s="11">
        <f>I170-M170</f>
        <v>30336.25</v>
      </c>
    </row>
    <row r="171" spans="1:14" x14ac:dyDescent="0.25">
      <c r="A171" s="3" t="s">
        <v>191</v>
      </c>
      <c r="B171" s="4" t="s">
        <v>19</v>
      </c>
      <c r="C171" s="4" t="s">
        <v>20</v>
      </c>
      <c r="D171" s="3" t="s">
        <v>21</v>
      </c>
      <c r="E171" s="4">
        <v>3500</v>
      </c>
      <c r="F171" s="5">
        <f t="shared" ref="F171:F172" si="448">E171*52%</f>
        <v>1820</v>
      </c>
      <c r="G171" s="6">
        <f t="shared" ref="G171:G172" si="449">IF(D171="A",E171*25%,IF(D171="B",E171*15%,E171*10%))</f>
        <v>525</v>
      </c>
      <c r="H171" s="5">
        <f t="shared" ref="H171:H172" si="450">E171*8%</f>
        <v>280</v>
      </c>
      <c r="I171" s="7">
        <f t="shared" ref="I171:I172" si="451">SUM(E171:H171)</f>
        <v>6125</v>
      </c>
      <c r="J171" s="8">
        <f t="shared" ref="J171:J172" si="452">E171*12.5%</f>
        <v>437.5</v>
      </c>
      <c r="K171" s="5">
        <f t="shared" ref="K171:K172" si="453">IF(I171&lt;=10000,100,IF(AND(I171&gt;10000,I171&lt;20000),200,300))</f>
        <v>100</v>
      </c>
      <c r="L171" s="4">
        <v>200</v>
      </c>
      <c r="M171" s="10">
        <f t="shared" ref="M171:M172" si="454">SUM(J171:L171)</f>
        <v>737.5</v>
      </c>
      <c r="N171" s="11">
        <f t="shared" ref="N171:N172" si="455">I171-M171</f>
        <v>5387.5</v>
      </c>
    </row>
    <row r="172" spans="1:14" x14ac:dyDescent="0.25">
      <c r="A172" s="3" t="s">
        <v>192</v>
      </c>
      <c r="B172" s="4" t="s">
        <v>23</v>
      </c>
      <c r="C172" s="4" t="s">
        <v>24</v>
      </c>
      <c r="D172" s="3" t="s">
        <v>17</v>
      </c>
      <c r="E172" s="4">
        <v>7500</v>
      </c>
      <c r="F172" s="5">
        <f t="shared" si="448"/>
        <v>3900</v>
      </c>
      <c r="G172" s="6">
        <f t="shared" si="449"/>
        <v>1875</v>
      </c>
      <c r="H172" s="5">
        <f t="shared" si="450"/>
        <v>600</v>
      </c>
      <c r="I172" s="7">
        <f t="shared" si="451"/>
        <v>13875</v>
      </c>
      <c r="J172" s="8">
        <f t="shared" si="452"/>
        <v>937.5</v>
      </c>
      <c r="K172" s="5">
        <f t="shared" si="453"/>
        <v>200</v>
      </c>
      <c r="L172" s="4">
        <v>3500</v>
      </c>
      <c r="M172" s="10">
        <f t="shared" si="454"/>
        <v>4637.5</v>
      </c>
      <c r="N172" s="11">
        <f t="shared" si="455"/>
        <v>9237.5</v>
      </c>
    </row>
    <row r="173" spans="1:14" x14ac:dyDescent="0.25">
      <c r="A173" s="3" t="s">
        <v>193</v>
      </c>
      <c r="B173" s="4" t="s">
        <v>15</v>
      </c>
      <c r="C173" s="4" t="s">
        <v>16</v>
      </c>
      <c r="D173" s="3" t="s">
        <v>17</v>
      </c>
      <c r="E173" s="4">
        <v>18050</v>
      </c>
      <c r="F173" s="5">
        <f>E173*52%</f>
        <v>9386</v>
      </c>
      <c r="G173" s="6">
        <f>IF(D173="A",E173*25%,IF(D173="B",E173*15%,E173*10%))</f>
        <v>4512.5</v>
      </c>
      <c r="H173" s="5">
        <f>E173*8%</f>
        <v>1444</v>
      </c>
      <c r="I173" s="7">
        <f>SUM(E173:H173)</f>
        <v>33392.5</v>
      </c>
      <c r="J173" s="8">
        <f>E173*12.5%</f>
        <v>2256.25</v>
      </c>
      <c r="K173" s="5">
        <f>IF(I173&lt;=10000,100,IF(AND(I173&gt;10000,I173&lt;20000),200,300))</f>
        <v>300</v>
      </c>
      <c r="L173" s="9">
        <v>500</v>
      </c>
      <c r="M173" s="10">
        <f>SUM(J173:L173)</f>
        <v>3056.25</v>
      </c>
      <c r="N173" s="11">
        <f>I173-M173</f>
        <v>30336.25</v>
      </c>
    </row>
    <row r="174" spans="1:14" x14ac:dyDescent="0.25">
      <c r="A174" s="3" t="s">
        <v>194</v>
      </c>
      <c r="B174" s="4" t="s">
        <v>19</v>
      </c>
      <c r="C174" s="4" t="s">
        <v>20</v>
      </c>
      <c r="D174" s="3" t="s">
        <v>21</v>
      </c>
      <c r="E174" s="4">
        <v>3500</v>
      </c>
      <c r="F174" s="5">
        <f t="shared" ref="F174:F175" si="456">E174*52%</f>
        <v>1820</v>
      </c>
      <c r="G174" s="6">
        <f t="shared" ref="G174:G175" si="457">IF(D174="A",E174*25%,IF(D174="B",E174*15%,E174*10%))</f>
        <v>525</v>
      </c>
      <c r="H174" s="5">
        <f t="shared" ref="H174:H175" si="458">E174*8%</f>
        <v>280</v>
      </c>
      <c r="I174" s="7">
        <f t="shared" ref="I174:I175" si="459">SUM(E174:H174)</f>
        <v>6125</v>
      </c>
      <c r="J174" s="8">
        <f t="shared" ref="J174:J175" si="460">E174*12.5%</f>
        <v>437.5</v>
      </c>
      <c r="K174" s="5">
        <f t="shared" ref="K174:K175" si="461">IF(I174&lt;=10000,100,IF(AND(I174&gt;10000,I174&lt;20000),200,300))</f>
        <v>100</v>
      </c>
      <c r="L174" s="4">
        <v>200</v>
      </c>
      <c r="M174" s="10">
        <f t="shared" ref="M174:M175" si="462">SUM(J174:L174)</f>
        <v>737.5</v>
      </c>
      <c r="N174" s="11">
        <f t="shared" ref="N174:N175" si="463">I174-M174</f>
        <v>5387.5</v>
      </c>
    </row>
    <row r="175" spans="1:14" x14ac:dyDescent="0.25">
      <c r="A175" s="3" t="s">
        <v>195</v>
      </c>
      <c r="B175" s="4" t="s">
        <v>23</v>
      </c>
      <c r="C175" s="4" t="s">
        <v>24</v>
      </c>
      <c r="D175" s="3" t="s">
        <v>17</v>
      </c>
      <c r="E175" s="4">
        <v>7500</v>
      </c>
      <c r="F175" s="5">
        <f t="shared" si="456"/>
        <v>3900</v>
      </c>
      <c r="G175" s="6">
        <f t="shared" si="457"/>
        <v>1875</v>
      </c>
      <c r="H175" s="5">
        <f t="shared" si="458"/>
        <v>600</v>
      </c>
      <c r="I175" s="7">
        <f t="shared" si="459"/>
        <v>13875</v>
      </c>
      <c r="J175" s="8">
        <f t="shared" si="460"/>
        <v>937.5</v>
      </c>
      <c r="K175" s="5">
        <f t="shared" si="461"/>
        <v>200</v>
      </c>
      <c r="L175" s="4">
        <v>3500</v>
      </c>
      <c r="M175" s="10">
        <f t="shared" si="462"/>
        <v>4637.5</v>
      </c>
      <c r="N175" s="11">
        <f t="shared" si="463"/>
        <v>9237.5</v>
      </c>
    </row>
    <row r="176" spans="1:14" x14ac:dyDescent="0.25">
      <c r="A176" s="3" t="s">
        <v>196</v>
      </c>
      <c r="B176" s="4" t="s">
        <v>15</v>
      </c>
      <c r="C176" s="4" t="s">
        <v>16</v>
      </c>
      <c r="D176" s="3" t="s">
        <v>17</v>
      </c>
      <c r="E176" s="4">
        <v>18050</v>
      </c>
      <c r="F176" s="5">
        <f>E176*52%</f>
        <v>9386</v>
      </c>
      <c r="G176" s="6">
        <f>IF(D176="A",E176*25%,IF(D176="B",E176*15%,E176*10%))</f>
        <v>4512.5</v>
      </c>
      <c r="H176" s="5">
        <f>E176*8%</f>
        <v>1444</v>
      </c>
      <c r="I176" s="7">
        <f>SUM(E176:H176)</f>
        <v>33392.5</v>
      </c>
      <c r="J176" s="8">
        <f>E176*12.5%</f>
        <v>2256.25</v>
      </c>
      <c r="K176" s="5">
        <f>IF(I176&lt;=10000,100,IF(AND(I176&gt;10000,I176&lt;20000),200,300))</f>
        <v>300</v>
      </c>
      <c r="L176" s="9">
        <v>500</v>
      </c>
      <c r="M176" s="10">
        <f>SUM(J176:L176)</f>
        <v>3056.25</v>
      </c>
      <c r="N176" s="11">
        <f>I176-M176</f>
        <v>30336.25</v>
      </c>
    </row>
    <row r="177" spans="1:14" x14ac:dyDescent="0.25">
      <c r="A177" s="3" t="s">
        <v>197</v>
      </c>
      <c r="B177" s="4" t="s">
        <v>19</v>
      </c>
      <c r="C177" s="4" t="s">
        <v>20</v>
      </c>
      <c r="D177" s="3" t="s">
        <v>21</v>
      </c>
      <c r="E177" s="4">
        <v>3500</v>
      </c>
      <c r="F177" s="5">
        <f t="shared" ref="F177:F178" si="464">E177*52%</f>
        <v>1820</v>
      </c>
      <c r="G177" s="6">
        <f t="shared" ref="G177:G178" si="465">IF(D177="A",E177*25%,IF(D177="B",E177*15%,E177*10%))</f>
        <v>525</v>
      </c>
      <c r="H177" s="5">
        <f t="shared" ref="H177:H178" si="466">E177*8%</f>
        <v>280</v>
      </c>
      <c r="I177" s="7">
        <f t="shared" ref="I177:I178" si="467">SUM(E177:H177)</f>
        <v>6125</v>
      </c>
      <c r="J177" s="8">
        <f t="shared" ref="J177:J178" si="468">E177*12.5%</f>
        <v>437.5</v>
      </c>
      <c r="K177" s="5">
        <f t="shared" ref="K177:K178" si="469">IF(I177&lt;=10000,100,IF(AND(I177&gt;10000,I177&lt;20000),200,300))</f>
        <v>100</v>
      </c>
      <c r="L177" s="4">
        <v>200</v>
      </c>
      <c r="M177" s="10">
        <f t="shared" ref="M177:M178" si="470">SUM(J177:L177)</f>
        <v>737.5</v>
      </c>
      <c r="N177" s="11">
        <f t="shared" ref="N177:N178" si="471">I177-M177</f>
        <v>5387.5</v>
      </c>
    </row>
    <row r="178" spans="1:14" x14ac:dyDescent="0.25">
      <c r="A178" s="3" t="s">
        <v>198</v>
      </c>
      <c r="B178" s="4" t="s">
        <v>23</v>
      </c>
      <c r="C178" s="4" t="s">
        <v>24</v>
      </c>
      <c r="D178" s="3" t="s">
        <v>17</v>
      </c>
      <c r="E178" s="4">
        <v>7500</v>
      </c>
      <c r="F178" s="5">
        <f t="shared" si="464"/>
        <v>3900</v>
      </c>
      <c r="G178" s="6">
        <f t="shared" si="465"/>
        <v>1875</v>
      </c>
      <c r="H178" s="5">
        <f t="shared" si="466"/>
        <v>600</v>
      </c>
      <c r="I178" s="7">
        <f t="shared" si="467"/>
        <v>13875</v>
      </c>
      <c r="J178" s="8">
        <f t="shared" si="468"/>
        <v>937.5</v>
      </c>
      <c r="K178" s="5">
        <f t="shared" si="469"/>
        <v>200</v>
      </c>
      <c r="L178" s="4">
        <v>3500</v>
      </c>
      <c r="M178" s="10">
        <f t="shared" si="470"/>
        <v>4637.5</v>
      </c>
      <c r="N178" s="11">
        <f t="shared" si="471"/>
        <v>9237.5</v>
      </c>
    </row>
    <row r="179" spans="1:14" x14ac:dyDescent="0.25">
      <c r="A179" s="3" t="s">
        <v>199</v>
      </c>
      <c r="B179" s="4" t="s">
        <v>15</v>
      </c>
      <c r="C179" s="4" t="s">
        <v>16</v>
      </c>
      <c r="D179" s="3" t="s">
        <v>17</v>
      </c>
      <c r="E179" s="4">
        <v>18050</v>
      </c>
      <c r="F179" s="5">
        <f>E179*52%</f>
        <v>9386</v>
      </c>
      <c r="G179" s="6">
        <f>IF(D179="A",E179*25%,IF(D179="B",E179*15%,E179*10%))</f>
        <v>4512.5</v>
      </c>
      <c r="H179" s="5">
        <f>E179*8%</f>
        <v>1444</v>
      </c>
      <c r="I179" s="7">
        <f>SUM(E179:H179)</f>
        <v>33392.5</v>
      </c>
      <c r="J179" s="8">
        <f>E179*12.5%</f>
        <v>2256.25</v>
      </c>
      <c r="K179" s="5">
        <f>IF(I179&lt;=10000,100,IF(AND(I179&gt;10000,I179&lt;20000),200,300))</f>
        <v>300</v>
      </c>
      <c r="L179" s="9">
        <v>500</v>
      </c>
      <c r="M179" s="10">
        <f>SUM(J179:L179)</f>
        <v>3056.25</v>
      </c>
      <c r="N179" s="11">
        <f>I179-M179</f>
        <v>30336.25</v>
      </c>
    </row>
    <row r="180" spans="1:14" x14ac:dyDescent="0.25">
      <c r="A180" s="3" t="s">
        <v>200</v>
      </c>
      <c r="B180" s="4" t="s">
        <v>19</v>
      </c>
      <c r="C180" s="4" t="s">
        <v>20</v>
      </c>
      <c r="D180" s="3" t="s">
        <v>21</v>
      </c>
      <c r="E180" s="4">
        <v>3500</v>
      </c>
      <c r="F180" s="5">
        <f t="shared" ref="F180:F181" si="472">E180*52%</f>
        <v>1820</v>
      </c>
      <c r="G180" s="6">
        <f t="shared" ref="G180:G181" si="473">IF(D180="A",E180*25%,IF(D180="B",E180*15%,E180*10%))</f>
        <v>525</v>
      </c>
      <c r="H180" s="5">
        <f t="shared" ref="H180:H181" si="474">E180*8%</f>
        <v>280</v>
      </c>
      <c r="I180" s="7">
        <f t="shared" ref="I180:I181" si="475">SUM(E180:H180)</f>
        <v>6125</v>
      </c>
      <c r="J180" s="8">
        <f t="shared" ref="J180:J181" si="476">E180*12.5%</f>
        <v>437.5</v>
      </c>
      <c r="K180" s="5">
        <f t="shared" ref="K180:K181" si="477">IF(I180&lt;=10000,100,IF(AND(I180&gt;10000,I180&lt;20000),200,300))</f>
        <v>100</v>
      </c>
      <c r="L180" s="4">
        <v>200</v>
      </c>
      <c r="M180" s="10">
        <f t="shared" ref="M180:M181" si="478">SUM(J180:L180)</f>
        <v>737.5</v>
      </c>
      <c r="N180" s="11">
        <f t="shared" ref="N180:N181" si="479">I180-M180</f>
        <v>5387.5</v>
      </c>
    </row>
    <row r="181" spans="1:14" x14ac:dyDescent="0.25">
      <c r="A181" s="3" t="s">
        <v>201</v>
      </c>
      <c r="B181" s="4" t="s">
        <v>23</v>
      </c>
      <c r="C181" s="4" t="s">
        <v>24</v>
      </c>
      <c r="D181" s="3" t="s">
        <v>17</v>
      </c>
      <c r="E181" s="4">
        <v>7500</v>
      </c>
      <c r="F181" s="5">
        <f t="shared" si="472"/>
        <v>3900</v>
      </c>
      <c r="G181" s="6">
        <f t="shared" si="473"/>
        <v>1875</v>
      </c>
      <c r="H181" s="5">
        <f t="shared" si="474"/>
        <v>600</v>
      </c>
      <c r="I181" s="7">
        <f t="shared" si="475"/>
        <v>13875</v>
      </c>
      <c r="J181" s="8">
        <f t="shared" si="476"/>
        <v>937.5</v>
      </c>
      <c r="K181" s="5">
        <f t="shared" si="477"/>
        <v>200</v>
      </c>
      <c r="L181" s="4">
        <v>3500</v>
      </c>
      <c r="M181" s="10">
        <f t="shared" si="478"/>
        <v>4637.5</v>
      </c>
      <c r="N181" s="11">
        <f t="shared" si="479"/>
        <v>9237.5</v>
      </c>
    </row>
    <row r="182" spans="1:14" x14ac:dyDescent="0.25">
      <c r="A182" s="3" t="s">
        <v>202</v>
      </c>
      <c r="B182" s="4" t="s">
        <v>15</v>
      </c>
      <c r="C182" s="4" t="s">
        <v>16</v>
      </c>
      <c r="D182" s="3" t="s">
        <v>17</v>
      </c>
      <c r="E182" s="4">
        <v>18050</v>
      </c>
      <c r="F182" s="5">
        <f>E182*52%</f>
        <v>9386</v>
      </c>
      <c r="G182" s="6">
        <f>IF(D182="A",E182*25%,IF(D182="B",E182*15%,E182*10%))</f>
        <v>4512.5</v>
      </c>
      <c r="H182" s="5">
        <f>E182*8%</f>
        <v>1444</v>
      </c>
      <c r="I182" s="7">
        <f>SUM(E182:H182)</f>
        <v>33392.5</v>
      </c>
      <c r="J182" s="8">
        <f>E182*12.5%</f>
        <v>2256.25</v>
      </c>
      <c r="K182" s="5">
        <f>IF(I182&lt;=10000,100,IF(AND(I182&gt;10000,I182&lt;20000),200,300))</f>
        <v>300</v>
      </c>
      <c r="L182" s="9">
        <v>500</v>
      </c>
      <c r="M182" s="10">
        <f>SUM(J182:L182)</f>
        <v>3056.25</v>
      </c>
      <c r="N182" s="11">
        <f>I182-M182</f>
        <v>30336.25</v>
      </c>
    </row>
    <row r="183" spans="1:14" x14ac:dyDescent="0.25">
      <c r="A183" s="3" t="s">
        <v>203</v>
      </c>
      <c r="B183" s="4" t="s">
        <v>19</v>
      </c>
      <c r="C183" s="4" t="s">
        <v>20</v>
      </c>
      <c r="D183" s="3" t="s">
        <v>21</v>
      </c>
      <c r="E183" s="4">
        <v>3500</v>
      </c>
      <c r="F183" s="5">
        <f t="shared" ref="F183:F184" si="480">E183*52%</f>
        <v>1820</v>
      </c>
      <c r="G183" s="6">
        <f t="shared" ref="G183:G184" si="481">IF(D183="A",E183*25%,IF(D183="B",E183*15%,E183*10%))</f>
        <v>525</v>
      </c>
      <c r="H183" s="5">
        <f t="shared" ref="H183:H184" si="482">E183*8%</f>
        <v>280</v>
      </c>
      <c r="I183" s="7">
        <f t="shared" ref="I183:I184" si="483">SUM(E183:H183)</f>
        <v>6125</v>
      </c>
      <c r="J183" s="8">
        <f t="shared" ref="J183:J184" si="484">E183*12.5%</f>
        <v>437.5</v>
      </c>
      <c r="K183" s="5">
        <f t="shared" ref="K183:K184" si="485">IF(I183&lt;=10000,100,IF(AND(I183&gt;10000,I183&lt;20000),200,300))</f>
        <v>100</v>
      </c>
      <c r="L183" s="4">
        <v>200</v>
      </c>
      <c r="M183" s="10">
        <f t="shared" ref="M183:M184" si="486">SUM(J183:L183)</f>
        <v>737.5</v>
      </c>
      <c r="N183" s="11">
        <f t="shared" ref="N183:N184" si="487">I183-M183</f>
        <v>5387.5</v>
      </c>
    </row>
    <row r="184" spans="1:14" x14ac:dyDescent="0.25">
      <c r="A184" s="3" t="s">
        <v>204</v>
      </c>
      <c r="B184" s="4" t="s">
        <v>23</v>
      </c>
      <c r="C184" s="4" t="s">
        <v>24</v>
      </c>
      <c r="D184" s="3" t="s">
        <v>17</v>
      </c>
      <c r="E184" s="4">
        <v>7500</v>
      </c>
      <c r="F184" s="5">
        <f t="shared" si="480"/>
        <v>3900</v>
      </c>
      <c r="G184" s="6">
        <f t="shared" si="481"/>
        <v>1875</v>
      </c>
      <c r="H184" s="5">
        <f t="shared" si="482"/>
        <v>600</v>
      </c>
      <c r="I184" s="7">
        <f t="shared" si="483"/>
        <v>13875</v>
      </c>
      <c r="J184" s="8">
        <f t="shared" si="484"/>
        <v>937.5</v>
      </c>
      <c r="K184" s="5">
        <f t="shared" si="485"/>
        <v>200</v>
      </c>
      <c r="L184" s="4">
        <v>3500</v>
      </c>
      <c r="M184" s="10">
        <f t="shared" si="486"/>
        <v>4637.5</v>
      </c>
      <c r="N184" s="11">
        <f t="shared" si="487"/>
        <v>9237.5</v>
      </c>
    </row>
    <row r="185" spans="1:14" x14ac:dyDescent="0.25">
      <c r="A185" s="3" t="s">
        <v>205</v>
      </c>
      <c r="B185" s="4" t="s">
        <v>15</v>
      </c>
      <c r="C185" s="4" t="s">
        <v>16</v>
      </c>
      <c r="D185" s="3" t="s">
        <v>17</v>
      </c>
      <c r="E185" s="4">
        <v>18050</v>
      </c>
      <c r="F185" s="5">
        <f>E185*52%</f>
        <v>9386</v>
      </c>
      <c r="G185" s="6">
        <f>IF(D185="A",E185*25%,IF(D185="B",E185*15%,E185*10%))</f>
        <v>4512.5</v>
      </c>
      <c r="H185" s="5">
        <f>E185*8%</f>
        <v>1444</v>
      </c>
      <c r="I185" s="7">
        <f>SUM(E185:H185)</f>
        <v>33392.5</v>
      </c>
      <c r="J185" s="8">
        <f>E185*12.5%</f>
        <v>2256.25</v>
      </c>
      <c r="K185" s="5">
        <f>IF(I185&lt;=10000,100,IF(AND(I185&gt;10000,I185&lt;20000),200,300))</f>
        <v>300</v>
      </c>
      <c r="L185" s="9">
        <v>500</v>
      </c>
      <c r="M185" s="10">
        <f>SUM(J185:L185)</f>
        <v>3056.25</v>
      </c>
      <c r="N185" s="11">
        <f>I185-M185</f>
        <v>30336.25</v>
      </c>
    </row>
    <row r="186" spans="1:14" x14ac:dyDescent="0.25">
      <c r="A186" s="3" t="s">
        <v>206</v>
      </c>
      <c r="B186" s="4" t="s">
        <v>19</v>
      </c>
      <c r="C186" s="4" t="s">
        <v>20</v>
      </c>
      <c r="D186" s="3" t="s">
        <v>21</v>
      </c>
      <c r="E186" s="4">
        <v>3500</v>
      </c>
      <c r="F186" s="5">
        <f t="shared" ref="F186:F187" si="488">E186*52%</f>
        <v>1820</v>
      </c>
      <c r="G186" s="6">
        <f t="shared" ref="G186:G187" si="489">IF(D186="A",E186*25%,IF(D186="B",E186*15%,E186*10%))</f>
        <v>525</v>
      </c>
      <c r="H186" s="5">
        <f t="shared" ref="H186:H187" si="490">E186*8%</f>
        <v>280</v>
      </c>
      <c r="I186" s="7">
        <f t="shared" ref="I186:I187" si="491">SUM(E186:H186)</f>
        <v>6125</v>
      </c>
      <c r="J186" s="8">
        <f t="shared" ref="J186:J187" si="492">E186*12.5%</f>
        <v>437.5</v>
      </c>
      <c r="K186" s="5">
        <f t="shared" ref="K186:K187" si="493">IF(I186&lt;=10000,100,IF(AND(I186&gt;10000,I186&lt;20000),200,300))</f>
        <v>100</v>
      </c>
      <c r="L186" s="4">
        <v>200</v>
      </c>
      <c r="M186" s="10">
        <f t="shared" ref="M186:M187" si="494">SUM(J186:L186)</f>
        <v>737.5</v>
      </c>
      <c r="N186" s="11">
        <f t="shared" ref="N186:N187" si="495">I186-M186</f>
        <v>5387.5</v>
      </c>
    </row>
    <row r="187" spans="1:14" x14ac:dyDescent="0.25">
      <c r="A187" s="3" t="s">
        <v>207</v>
      </c>
      <c r="B187" s="4" t="s">
        <v>23</v>
      </c>
      <c r="C187" s="4" t="s">
        <v>24</v>
      </c>
      <c r="D187" s="3" t="s">
        <v>17</v>
      </c>
      <c r="E187" s="4">
        <v>7500</v>
      </c>
      <c r="F187" s="5">
        <f t="shared" si="488"/>
        <v>3900</v>
      </c>
      <c r="G187" s="6">
        <f t="shared" si="489"/>
        <v>1875</v>
      </c>
      <c r="H187" s="5">
        <f t="shared" si="490"/>
        <v>600</v>
      </c>
      <c r="I187" s="7">
        <f t="shared" si="491"/>
        <v>13875</v>
      </c>
      <c r="J187" s="8">
        <f t="shared" si="492"/>
        <v>937.5</v>
      </c>
      <c r="K187" s="5">
        <f t="shared" si="493"/>
        <v>200</v>
      </c>
      <c r="L187" s="4">
        <v>3500</v>
      </c>
      <c r="M187" s="10">
        <f t="shared" si="494"/>
        <v>4637.5</v>
      </c>
      <c r="N187" s="11">
        <f t="shared" si="495"/>
        <v>9237.5</v>
      </c>
    </row>
    <row r="188" spans="1:14" x14ac:dyDescent="0.25">
      <c r="A188" s="3" t="s">
        <v>208</v>
      </c>
      <c r="B188" s="4" t="s">
        <v>15</v>
      </c>
      <c r="C188" s="4" t="s">
        <v>16</v>
      </c>
      <c r="D188" s="3" t="s">
        <v>17</v>
      </c>
      <c r="E188" s="4">
        <v>18050</v>
      </c>
      <c r="F188" s="5">
        <f>E188*52%</f>
        <v>9386</v>
      </c>
      <c r="G188" s="6">
        <f>IF(D188="A",E188*25%,IF(D188="B",E188*15%,E188*10%))</f>
        <v>4512.5</v>
      </c>
      <c r="H188" s="5">
        <f>E188*8%</f>
        <v>1444</v>
      </c>
      <c r="I188" s="7">
        <f>SUM(E188:H188)</f>
        <v>33392.5</v>
      </c>
      <c r="J188" s="8">
        <f>E188*12.5%</f>
        <v>2256.25</v>
      </c>
      <c r="K188" s="5">
        <f>IF(I188&lt;=10000,100,IF(AND(I188&gt;10000,I188&lt;20000),200,300))</f>
        <v>300</v>
      </c>
      <c r="L188" s="9">
        <v>500</v>
      </c>
      <c r="M188" s="10">
        <f>SUM(J188:L188)</f>
        <v>3056.25</v>
      </c>
      <c r="N188" s="11">
        <f>I188-M188</f>
        <v>30336.25</v>
      </c>
    </row>
    <row r="189" spans="1:14" x14ac:dyDescent="0.25">
      <c r="A189" s="3" t="s">
        <v>209</v>
      </c>
      <c r="B189" s="4" t="s">
        <v>19</v>
      </c>
      <c r="C189" s="4" t="s">
        <v>20</v>
      </c>
      <c r="D189" s="3" t="s">
        <v>21</v>
      </c>
      <c r="E189" s="4">
        <v>3500</v>
      </c>
      <c r="F189" s="5">
        <f t="shared" ref="F189:F190" si="496">E189*52%</f>
        <v>1820</v>
      </c>
      <c r="G189" s="6">
        <f t="shared" ref="G189:G190" si="497">IF(D189="A",E189*25%,IF(D189="B",E189*15%,E189*10%))</f>
        <v>525</v>
      </c>
      <c r="H189" s="5">
        <f t="shared" ref="H189:H190" si="498">E189*8%</f>
        <v>280</v>
      </c>
      <c r="I189" s="7">
        <f t="shared" ref="I189:I190" si="499">SUM(E189:H189)</f>
        <v>6125</v>
      </c>
      <c r="J189" s="8">
        <f t="shared" ref="J189:J190" si="500">E189*12.5%</f>
        <v>437.5</v>
      </c>
      <c r="K189" s="5">
        <f t="shared" ref="K189:K190" si="501">IF(I189&lt;=10000,100,IF(AND(I189&gt;10000,I189&lt;20000),200,300))</f>
        <v>100</v>
      </c>
      <c r="L189" s="4">
        <v>200</v>
      </c>
      <c r="M189" s="10">
        <f t="shared" ref="M189:M190" si="502">SUM(J189:L189)</f>
        <v>737.5</v>
      </c>
      <c r="N189" s="11">
        <f t="shared" ref="N189:N190" si="503">I189-M189</f>
        <v>5387.5</v>
      </c>
    </row>
    <row r="190" spans="1:14" x14ac:dyDescent="0.25">
      <c r="A190" s="3" t="s">
        <v>210</v>
      </c>
      <c r="B190" s="4" t="s">
        <v>23</v>
      </c>
      <c r="C190" s="4" t="s">
        <v>24</v>
      </c>
      <c r="D190" s="3" t="s">
        <v>17</v>
      </c>
      <c r="E190" s="4">
        <v>7500</v>
      </c>
      <c r="F190" s="5">
        <f t="shared" si="496"/>
        <v>3900</v>
      </c>
      <c r="G190" s="6">
        <f t="shared" si="497"/>
        <v>1875</v>
      </c>
      <c r="H190" s="5">
        <f t="shared" si="498"/>
        <v>600</v>
      </c>
      <c r="I190" s="7">
        <f t="shared" si="499"/>
        <v>13875</v>
      </c>
      <c r="J190" s="8">
        <f t="shared" si="500"/>
        <v>937.5</v>
      </c>
      <c r="K190" s="5">
        <f t="shared" si="501"/>
        <v>200</v>
      </c>
      <c r="L190" s="4">
        <v>3500</v>
      </c>
      <c r="M190" s="10">
        <f t="shared" si="502"/>
        <v>4637.5</v>
      </c>
      <c r="N190" s="11">
        <f t="shared" si="503"/>
        <v>9237.5</v>
      </c>
    </row>
    <row r="191" spans="1:14" x14ac:dyDescent="0.25">
      <c r="A191" s="3" t="s">
        <v>211</v>
      </c>
      <c r="B191" s="4" t="s">
        <v>15</v>
      </c>
      <c r="C191" s="4" t="s">
        <v>16</v>
      </c>
      <c r="D191" s="3" t="s">
        <v>17</v>
      </c>
      <c r="E191" s="4">
        <v>18050</v>
      </c>
      <c r="F191" s="5">
        <f>E191*52%</f>
        <v>9386</v>
      </c>
      <c r="G191" s="6">
        <f>IF(D191="A",E191*25%,IF(D191="B",E191*15%,E191*10%))</f>
        <v>4512.5</v>
      </c>
      <c r="H191" s="5">
        <f>E191*8%</f>
        <v>1444</v>
      </c>
      <c r="I191" s="7">
        <f>SUM(E191:H191)</f>
        <v>33392.5</v>
      </c>
      <c r="J191" s="8">
        <f>E191*12.5%</f>
        <v>2256.25</v>
      </c>
      <c r="K191" s="5">
        <f>IF(I191&lt;=10000,100,IF(AND(I191&gt;10000,I191&lt;20000),200,300))</f>
        <v>300</v>
      </c>
      <c r="L191" s="9">
        <v>500</v>
      </c>
      <c r="M191" s="10">
        <f>SUM(J191:L191)</f>
        <v>3056.25</v>
      </c>
      <c r="N191" s="11">
        <f>I191-M191</f>
        <v>30336.25</v>
      </c>
    </row>
    <row r="192" spans="1:14" x14ac:dyDescent="0.25">
      <c r="A192" s="3" t="s">
        <v>212</v>
      </c>
      <c r="B192" s="4" t="s">
        <v>19</v>
      </c>
      <c r="C192" s="4" t="s">
        <v>20</v>
      </c>
      <c r="D192" s="3" t="s">
        <v>21</v>
      </c>
      <c r="E192" s="4">
        <v>3500</v>
      </c>
      <c r="F192" s="5">
        <f t="shared" ref="F192:F193" si="504">E192*52%</f>
        <v>1820</v>
      </c>
      <c r="G192" s="6">
        <f t="shared" ref="G192:G193" si="505">IF(D192="A",E192*25%,IF(D192="B",E192*15%,E192*10%))</f>
        <v>525</v>
      </c>
      <c r="H192" s="5">
        <f t="shared" ref="H192:H193" si="506">E192*8%</f>
        <v>280</v>
      </c>
      <c r="I192" s="7">
        <f t="shared" ref="I192:I193" si="507">SUM(E192:H192)</f>
        <v>6125</v>
      </c>
      <c r="J192" s="8">
        <f t="shared" ref="J192:J193" si="508">E192*12.5%</f>
        <v>437.5</v>
      </c>
      <c r="K192" s="5">
        <f t="shared" ref="K192:K193" si="509">IF(I192&lt;=10000,100,IF(AND(I192&gt;10000,I192&lt;20000),200,300))</f>
        <v>100</v>
      </c>
      <c r="L192" s="4">
        <v>200</v>
      </c>
      <c r="M192" s="10">
        <f t="shared" ref="M192:M193" si="510">SUM(J192:L192)</f>
        <v>737.5</v>
      </c>
      <c r="N192" s="11">
        <f t="shared" ref="N192:N193" si="511">I192-M192</f>
        <v>5387.5</v>
      </c>
    </row>
    <row r="193" spans="1:14" x14ac:dyDescent="0.25">
      <c r="A193" s="3" t="s">
        <v>213</v>
      </c>
      <c r="B193" s="4" t="s">
        <v>23</v>
      </c>
      <c r="C193" s="4" t="s">
        <v>24</v>
      </c>
      <c r="D193" s="3" t="s">
        <v>17</v>
      </c>
      <c r="E193" s="4">
        <v>7500</v>
      </c>
      <c r="F193" s="5">
        <f t="shared" si="504"/>
        <v>3900</v>
      </c>
      <c r="G193" s="6">
        <f t="shared" si="505"/>
        <v>1875</v>
      </c>
      <c r="H193" s="5">
        <f t="shared" si="506"/>
        <v>600</v>
      </c>
      <c r="I193" s="7">
        <f t="shared" si="507"/>
        <v>13875</v>
      </c>
      <c r="J193" s="8">
        <f t="shared" si="508"/>
        <v>937.5</v>
      </c>
      <c r="K193" s="5">
        <f t="shared" si="509"/>
        <v>200</v>
      </c>
      <c r="L193" s="4">
        <v>3500</v>
      </c>
      <c r="M193" s="10">
        <f t="shared" si="510"/>
        <v>4637.5</v>
      </c>
      <c r="N193" s="11">
        <f t="shared" si="511"/>
        <v>9237.5</v>
      </c>
    </row>
    <row r="194" spans="1:14" x14ac:dyDescent="0.25">
      <c r="A194" s="3" t="s">
        <v>214</v>
      </c>
      <c r="B194" s="4" t="s">
        <v>15</v>
      </c>
      <c r="C194" s="4" t="s">
        <v>16</v>
      </c>
      <c r="D194" s="3" t="s">
        <v>17</v>
      </c>
      <c r="E194" s="4">
        <v>18050</v>
      </c>
      <c r="F194" s="5">
        <f>E194*52%</f>
        <v>9386</v>
      </c>
      <c r="G194" s="6">
        <f>IF(D194="A",E194*25%,IF(D194="B",E194*15%,E194*10%))</f>
        <v>4512.5</v>
      </c>
      <c r="H194" s="5">
        <f>E194*8%</f>
        <v>1444</v>
      </c>
      <c r="I194" s="7">
        <f>SUM(E194:H194)</f>
        <v>33392.5</v>
      </c>
      <c r="J194" s="8">
        <f>E194*12.5%</f>
        <v>2256.25</v>
      </c>
      <c r="K194" s="5">
        <f>IF(I194&lt;=10000,100,IF(AND(I194&gt;10000,I194&lt;20000),200,300))</f>
        <v>300</v>
      </c>
      <c r="L194" s="9">
        <v>500</v>
      </c>
      <c r="M194" s="10">
        <f>SUM(J194:L194)</f>
        <v>3056.25</v>
      </c>
      <c r="N194" s="11">
        <f>I194-M194</f>
        <v>30336.25</v>
      </c>
    </row>
    <row r="195" spans="1:14" x14ac:dyDescent="0.25">
      <c r="A195" s="3" t="s">
        <v>215</v>
      </c>
      <c r="B195" s="4" t="s">
        <v>19</v>
      </c>
      <c r="C195" s="4" t="s">
        <v>20</v>
      </c>
      <c r="D195" s="3" t="s">
        <v>21</v>
      </c>
      <c r="E195" s="4">
        <v>3500</v>
      </c>
      <c r="F195" s="5">
        <f t="shared" ref="F195:F196" si="512">E195*52%</f>
        <v>1820</v>
      </c>
      <c r="G195" s="6">
        <f t="shared" ref="G195:G196" si="513">IF(D195="A",E195*25%,IF(D195="B",E195*15%,E195*10%))</f>
        <v>525</v>
      </c>
      <c r="H195" s="5">
        <f t="shared" ref="H195:H196" si="514">E195*8%</f>
        <v>280</v>
      </c>
      <c r="I195" s="7">
        <f t="shared" ref="I195:I196" si="515">SUM(E195:H195)</f>
        <v>6125</v>
      </c>
      <c r="J195" s="8">
        <f t="shared" ref="J195:J196" si="516">E195*12.5%</f>
        <v>437.5</v>
      </c>
      <c r="K195" s="5">
        <f t="shared" ref="K195:K196" si="517">IF(I195&lt;=10000,100,IF(AND(I195&gt;10000,I195&lt;20000),200,300))</f>
        <v>100</v>
      </c>
      <c r="L195" s="4">
        <v>200</v>
      </c>
      <c r="M195" s="10">
        <f t="shared" ref="M195:M196" si="518">SUM(J195:L195)</f>
        <v>737.5</v>
      </c>
      <c r="N195" s="11">
        <f t="shared" ref="N195:N196" si="519">I195-M195</f>
        <v>5387.5</v>
      </c>
    </row>
    <row r="196" spans="1:14" x14ac:dyDescent="0.25">
      <c r="A196" s="3" t="s">
        <v>216</v>
      </c>
      <c r="B196" s="4" t="s">
        <v>23</v>
      </c>
      <c r="C196" s="4" t="s">
        <v>24</v>
      </c>
      <c r="D196" s="3" t="s">
        <v>17</v>
      </c>
      <c r="E196" s="4">
        <v>7500</v>
      </c>
      <c r="F196" s="5">
        <f t="shared" si="512"/>
        <v>3900</v>
      </c>
      <c r="G196" s="6">
        <f t="shared" si="513"/>
        <v>1875</v>
      </c>
      <c r="H196" s="5">
        <f t="shared" si="514"/>
        <v>600</v>
      </c>
      <c r="I196" s="7">
        <f t="shared" si="515"/>
        <v>13875</v>
      </c>
      <c r="J196" s="8">
        <f t="shared" si="516"/>
        <v>937.5</v>
      </c>
      <c r="K196" s="5">
        <f t="shared" si="517"/>
        <v>200</v>
      </c>
      <c r="L196" s="4">
        <v>3500</v>
      </c>
      <c r="M196" s="10">
        <f t="shared" si="518"/>
        <v>4637.5</v>
      </c>
      <c r="N196" s="11">
        <f t="shared" si="519"/>
        <v>9237.5</v>
      </c>
    </row>
    <row r="197" spans="1:14" x14ac:dyDescent="0.25">
      <c r="A197" s="3" t="s">
        <v>217</v>
      </c>
      <c r="B197" s="4" t="s">
        <v>15</v>
      </c>
      <c r="C197" s="4" t="s">
        <v>16</v>
      </c>
      <c r="D197" s="3" t="s">
        <v>17</v>
      </c>
      <c r="E197" s="4">
        <v>18050</v>
      </c>
      <c r="F197" s="5">
        <f>E197*52%</f>
        <v>9386</v>
      </c>
      <c r="G197" s="6">
        <f>IF(D197="A",E197*25%,IF(D197="B",E197*15%,E197*10%))</f>
        <v>4512.5</v>
      </c>
      <c r="H197" s="5">
        <f>E197*8%</f>
        <v>1444</v>
      </c>
      <c r="I197" s="7">
        <f>SUM(E197:H197)</f>
        <v>33392.5</v>
      </c>
      <c r="J197" s="8">
        <f>E197*12.5%</f>
        <v>2256.25</v>
      </c>
      <c r="K197" s="5">
        <f>IF(I197&lt;=10000,100,IF(AND(I197&gt;10000,I197&lt;20000),200,300))</f>
        <v>300</v>
      </c>
      <c r="L197" s="9">
        <v>500</v>
      </c>
      <c r="M197" s="10">
        <f>SUM(J197:L197)</f>
        <v>3056.25</v>
      </c>
      <c r="N197" s="11">
        <f>I197-M197</f>
        <v>30336.25</v>
      </c>
    </row>
    <row r="198" spans="1:14" x14ac:dyDescent="0.25">
      <c r="A198" s="3" t="s">
        <v>218</v>
      </c>
      <c r="B198" s="4" t="s">
        <v>19</v>
      </c>
      <c r="C198" s="4" t="s">
        <v>20</v>
      </c>
      <c r="D198" s="3" t="s">
        <v>21</v>
      </c>
      <c r="E198" s="4">
        <v>3500</v>
      </c>
      <c r="F198" s="5">
        <f t="shared" ref="F198:F199" si="520">E198*52%</f>
        <v>1820</v>
      </c>
      <c r="G198" s="6">
        <f t="shared" ref="G198:G199" si="521">IF(D198="A",E198*25%,IF(D198="B",E198*15%,E198*10%))</f>
        <v>525</v>
      </c>
      <c r="H198" s="5">
        <f t="shared" ref="H198:H199" si="522">E198*8%</f>
        <v>280</v>
      </c>
      <c r="I198" s="7">
        <f t="shared" ref="I198:I199" si="523">SUM(E198:H198)</f>
        <v>6125</v>
      </c>
      <c r="J198" s="8">
        <f t="shared" ref="J198:J199" si="524">E198*12.5%</f>
        <v>437.5</v>
      </c>
      <c r="K198" s="5">
        <f t="shared" ref="K198:K199" si="525">IF(I198&lt;=10000,100,IF(AND(I198&gt;10000,I198&lt;20000),200,300))</f>
        <v>100</v>
      </c>
      <c r="L198" s="4">
        <v>200</v>
      </c>
      <c r="M198" s="10">
        <f t="shared" ref="M198:M199" si="526">SUM(J198:L198)</f>
        <v>737.5</v>
      </c>
      <c r="N198" s="11">
        <f t="shared" ref="N198:N199" si="527">I198-M198</f>
        <v>5387.5</v>
      </c>
    </row>
    <row r="199" spans="1:14" x14ac:dyDescent="0.25">
      <c r="A199" s="3" t="s">
        <v>219</v>
      </c>
      <c r="B199" s="4" t="s">
        <v>23</v>
      </c>
      <c r="C199" s="4" t="s">
        <v>24</v>
      </c>
      <c r="D199" s="3" t="s">
        <v>17</v>
      </c>
      <c r="E199" s="4">
        <v>7500</v>
      </c>
      <c r="F199" s="5">
        <f t="shared" si="520"/>
        <v>3900</v>
      </c>
      <c r="G199" s="6">
        <f t="shared" si="521"/>
        <v>1875</v>
      </c>
      <c r="H199" s="5">
        <f t="shared" si="522"/>
        <v>600</v>
      </c>
      <c r="I199" s="7">
        <f t="shared" si="523"/>
        <v>13875</v>
      </c>
      <c r="J199" s="8">
        <f t="shared" si="524"/>
        <v>937.5</v>
      </c>
      <c r="K199" s="5">
        <f t="shared" si="525"/>
        <v>200</v>
      </c>
      <c r="L199" s="4">
        <v>3500</v>
      </c>
      <c r="M199" s="10">
        <f t="shared" si="526"/>
        <v>4637.5</v>
      </c>
      <c r="N199" s="11">
        <f t="shared" si="527"/>
        <v>9237.5</v>
      </c>
    </row>
    <row r="200" spans="1:14" x14ac:dyDescent="0.25">
      <c r="A200" s="3" t="s">
        <v>220</v>
      </c>
      <c r="B200" s="4" t="s">
        <v>15</v>
      </c>
      <c r="C200" s="4" t="s">
        <v>16</v>
      </c>
      <c r="D200" s="3" t="s">
        <v>17</v>
      </c>
      <c r="E200" s="4">
        <v>18050</v>
      </c>
      <c r="F200" s="5">
        <f>E200*52%</f>
        <v>9386</v>
      </c>
      <c r="G200" s="6">
        <f>IF(D200="A",E200*25%,IF(D200="B",E200*15%,E200*10%))</f>
        <v>4512.5</v>
      </c>
      <c r="H200" s="5">
        <f>E200*8%</f>
        <v>1444</v>
      </c>
      <c r="I200" s="7">
        <f>SUM(E200:H200)</f>
        <v>33392.5</v>
      </c>
      <c r="J200" s="8">
        <f>E200*12.5%</f>
        <v>2256.25</v>
      </c>
      <c r="K200" s="5">
        <f>IF(I200&lt;=10000,100,IF(AND(I200&gt;10000,I200&lt;20000),200,300))</f>
        <v>300</v>
      </c>
      <c r="L200" s="9">
        <v>500</v>
      </c>
      <c r="M200" s="10">
        <f>SUM(J200:L200)</f>
        <v>3056.25</v>
      </c>
      <c r="N200" s="11">
        <f>I200-M200</f>
        <v>30336.25</v>
      </c>
    </row>
    <row r="201" spans="1:14" x14ac:dyDescent="0.25">
      <c r="A201" s="3" t="s">
        <v>221</v>
      </c>
      <c r="B201" s="4" t="s">
        <v>19</v>
      </c>
      <c r="C201" s="4" t="s">
        <v>20</v>
      </c>
      <c r="D201" s="3" t="s">
        <v>21</v>
      </c>
      <c r="E201" s="4">
        <v>3500</v>
      </c>
      <c r="F201" s="5">
        <f t="shared" ref="F201:F202" si="528">E201*52%</f>
        <v>1820</v>
      </c>
      <c r="G201" s="6">
        <f t="shared" ref="G201:G202" si="529">IF(D201="A",E201*25%,IF(D201="B",E201*15%,E201*10%))</f>
        <v>525</v>
      </c>
      <c r="H201" s="5">
        <f t="shared" ref="H201:H202" si="530">E201*8%</f>
        <v>280</v>
      </c>
      <c r="I201" s="7">
        <f t="shared" ref="I201:I202" si="531">SUM(E201:H201)</f>
        <v>6125</v>
      </c>
      <c r="J201" s="8">
        <f t="shared" ref="J201:J202" si="532">E201*12.5%</f>
        <v>437.5</v>
      </c>
      <c r="K201" s="5">
        <f t="shared" ref="K201:K202" si="533">IF(I201&lt;=10000,100,IF(AND(I201&gt;10000,I201&lt;20000),200,300))</f>
        <v>100</v>
      </c>
      <c r="L201" s="4">
        <v>200</v>
      </c>
      <c r="M201" s="10">
        <f t="shared" ref="M201:M202" si="534">SUM(J201:L201)</f>
        <v>737.5</v>
      </c>
      <c r="N201" s="11">
        <f t="shared" ref="N201:N202" si="535">I201-M201</f>
        <v>5387.5</v>
      </c>
    </row>
    <row r="202" spans="1:14" x14ac:dyDescent="0.25">
      <c r="A202" s="3" t="s">
        <v>222</v>
      </c>
      <c r="B202" s="4" t="s">
        <v>23</v>
      </c>
      <c r="C202" s="4" t="s">
        <v>24</v>
      </c>
      <c r="D202" s="3" t="s">
        <v>17</v>
      </c>
      <c r="E202" s="4">
        <v>7500</v>
      </c>
      <c r="F202" s="5">
        <f t="shared" si="528"/>
        <v>3900</v>
      </c>
      <c r="G202" s="6">
        <f t="shared" si="529"/>
        <v>1875</v>
      </c>
      <c r="H202" s="5">
        <f t="shared" si="530"/>
        <v>600</v>
      </c>
      <c r="I202" s="7">
        <f t="shared" si="531"/>
        <v>13875</v>
      </c>
      <c r="J202" s="8">
        <f t="shared" si="532"/>
        <v>937.5</v>
      </c>
      <c r="K202" s="5">
        <f t="shared" si="533"/>
        <v>200</v>
      </c>
      <c r="L202" s="4">
        <v>3500</v>
      </c>
      <c r="M202" s="10">
        <f t="shared" si="534"/>
        <v>4637.5</v>
      </c>
      <c r="N202" s="11">
        <f t="shared" si="535"/>
        <v>9237.5</v>
      </c>
    </row>
    <row r="203" spans="1:14" x14ac:dyDescent="0.25">
      <c r="A203" s="3" t="s">
        <v>223</v>
      </c>
      <c r="B203" s="4" t="s">
        <v>15</v>
      </c>
      <c r="C203" s="4" t="s">
        <v>16</v>
      </c>
      <c r="D203" s="3" t="s">
        <v>17</v>
      </c>
      <c r="E203" s="4">
        <v>18050</v>
      </c>
      <c r="F203" s="5">
        <f>E203*52%</f>
        <v>9386</v>
      </c>
      <c r="G203" s="6">
        <f>IF(D203="A",E203*25%,IF(D203="B",E203*15%,E203*10%))</f>
        <v>4512.5</v>
      </c>
      <c r="H203" s="5">
        <f>E203*8%</f>
        <v>1444</v>
      </c>
      <c r="I203" s="7">
        <f>SUM(E203:H203)</f>
        <v>33392.5</v>
      </c>
      <c r="J203" s="8">
        <f>E203*12.5%</f>
        <v>2256.25</v>
      </c>
      <c r="K203" s="5">
        <f>IF(I203&lt;=10000,100,IF(AND(I203&gt;10000,I203&lt;20000),200,300))</f>
        <v>300</v>
      </c>
      <c r="L203" s="9">
        <v>500</v>
      </c>
      <c r="M203" s="10">
        <f>SUM(J203:L203)</f>
        <v>3056.25</v>
      </c>
      <c r="N203" s="11">
        <f>I203-M203</f>
        <v>30336.25</v>
      </c>
    </row>
    <row r="204" spans="1:14" x14ac:dyDescent="0.25">
      <c r="A204" s="3" t="s">
        <v>224</v>
      </c>
      <c r="B204" s="4" t="s">
        <v>19</v>
      </c>
      <c r="C204" s="4" t="s">
        <v>20</v>
      </c>
      <c r="D204" s="3" t="s">
        <v>21</v>
      </c>
      <c r="E204" s="4">
        <v>3500</v>
      </c>
      <c r="F204" s="5">
        <f t="shared" ref="F204:F205" si="536">E204*52%</f>
        <v>1820</v>
      </c>
      <c r="G204" s="6">
        <f t="shared" ref="G204:G205" si="537">IF(D204="A",E204*25%,IF(D204="B",E204*15%,E204*10%))</f>
        <v>525</v>
      </c>
      <c r="H204" s="5">
        <f t="shared" ref="H204:H205" si="538">E204*8%</f>
        <v>280</v>
      </c>
      <c r="I204" s="7">
        <f t="shared" ref="I204:I205" si="539">SUM(E204:H204)</f>
        <v>6125</v>
      </c>
      <c r="J204" s="8">
        <f t="shared" ref="J204:J205" si="540">E204*12.5%</f>
        <v>437.5</v>
      </c>
      <c r="K204" s="5">
        <f t="shared" ref="K204:K205" si="541">IF(I204&lt;=10000,100,IF(AND(I204&gt;10000,I204&lt;20000),200,300))</f>
        <v>100</v>
      </c>
      <c r="L204" s="4">
        <v>200</v>
      </c>
      <c r="M204" s="10">
        <f t="shared" ref="M204:M205" si="542">SUM(J204:L204)</f>
        <v>737.5</v>
      </c>
      <c r="N204" s="11">
        <f t="shared" ref="N204:N205" si="543">I204-M204</f>
        <v>5387.5</v>
      </c>
    </row>
    <row r="205" spans="1:14" x14ac:dyDescent="0.25">
      <c r="A205" s="3" t="s">
        <v>225</v>
      </c>
      <c r="B205" s="4" t="s">
        <v>23</v>
      </c>
      <c r="C205" s="4" t="s">
        <v>24</v>
      </c>
      <c r="D205" s="3" t="s">
        <v>17</v>
      </c>
      <c r="E205" s="4">
        <v>7500</v>
      </c>
      <c r="F205" s="5">
        <f t="shared" si="536"/>
        <v>3900</v>
      </c>
      <c r="G205" s="6">
        <f t="shared" si="537"/>
        <v>1875</v>
      </c>
      <c r="H205" s="5">
        <f t="shared" si="538"/>
        <v>600</v>
      </c>
      <c r="I205" s="7">
        <f t="shared" si="539"/>
        <v>13875</v>
      </c>
      <c r="J205" s="8">
        <f t="shared" si="540"/>
        <v>937.5</v>
      </c>
      <c r="K205" s="5">
        <f t="shared" si="541"/>
        <v>200</v>
      </c>
      <c r="L205" s="4">
        <v>3500</v>
      </c>
      <c r="M205" s="10">
        <f t="shared" si="542"/>
        <v>4637.5</v>
      </c>
      <c r="N205" s="11">
        <f t="shared" si="543"/>
        <v>9237.5</v>
      </c>
    </row>
    <row r="206" spans="1:14" x14ac:dyDescent="0.25">
      <c r="A206" s="3" t="s">
        <v>226</v>
      </c>
      <c r="B206" s="4" t="s">
        <v>15</v>
      </c>
      <c r="C206" s="4" t="s">
        <v>16</v>
      </c>
      <c r="D206" s="3" t="s">
        <v>17</v>
      </c>
      <c r="E206" s="4">
        <v>18050</v>
      </c>
      <c r="F206" s="5">
        <f>E206*52%</f>
        <v>9386</v>
      </c>
      <c r="G206" s="6">
        <f>IF(D206="A",E206*25%,IF(D206="B",E206*15%,E206*10%))</f>
        <v>4512.5</v>
      </c>
      <c r="H206" s="5">
        <f>E206*8%</f>
        <v>1444</v>
      </c>
      <c r="I206" s="7">
        <f>SUM(E206:H206)</f>
        <v>33392.5</v>
      </c>
      <c r="J206" s="8">
        <f>E206*12.5%</f>
        <v>2256.25</v>
      </c>
      <c r="K206" s="5">
        <f>IF(I206&lt;=10000,100,IF(AND(I206&gt;10000,I206&lt;20000),200,300))</f>
        <v>300</v>
      </c>
      <c r="L206" s="9">
        <v>500</v>
      </c>
      <c r="M206" s="10">
        <f>SUM(J206:L206)</f>
        <v>3056.25</v>
      </c>
      <c r="N206" s="11">
        <f>I206-M206</f>
        <v>30336.25</v>
      </c>
    </row>
    <row r="207" spans="1:14" x14ac:dyDescent="0.25">
      <c r="A207" s="3" t="s">
        <v>227</v>
      </c>
      <c r="B207" s="4" t="s">
        <v>19</v>
      </c>
      <c r="C207" s="4" t="s">
        <v>20</v>
      </c>
      <c r="D207" s="3" t="s">
        <v>21</v>
      </c>
      <c r="E207" s="4">
        <v>3500</v>
      </c>
      <c r="F207" s="5">
        <f t="shared" ref="F207:F208" si="544">E207*52%</f>
        <v>1820</v>
      </c>
      <c r="G207" s="6">
        <f t="shared" ref="G207:G208" si="545">IF(D207="A",E207*25%,IF(D207="B",E207*15%,E207*10%))</f>
        <v>525</v>
      </c>
      <c r="H207" s="5">
        <f t="shared" ref="H207:H208" si="546">E207*8%</f>
        <v>280</v>
      </c>
      <c r="I207" s="7">
        <f t="shared" ref="I207:I208" si="547">SUM(E207:H207)</f>
        <v>6125</v>
      </c>
      <c r="J207" s="8">
        <f t="shared" ref="J207:J208" si="548">E207*12.5%</f>
        <v>437.5</v>
      </c>
      <c r="K207" s="5">
        <f t="shared" ref="K207:K208" si="549">IF(I207&lt;=10000,100,IF(AND(I207&gt;10000,I207&lt;20000),200,300))</f>
        <v>100</v>
      </c>
      <c r="L207" s="4">
        <v>200</v>
      </c>
      <c r="M207" s="10">
        <f t="shared" ref="M207:M208" si="550">SUM(J207:L207)</f>
        <v>737.5</v>
      </c>
      <c r="N207" s="11">
        <f t="shared" ref="N207:N208" si="551">I207-M207</f>
        <v>5387.5</v>
      </c>
    </row>
    <row r="208" spans="1:14" x14ac:dyDescent="0.25">
      <c r="A208" s="3" t="s">
        <v>228</v>
      </c>
      <c r="B208" s="4" t="s">
        <v>23</v>
      </c>
      <c r="C208" s="4" t="s">
        <v>24</v>
      </c>
      <c r="D208" s="3" t="s">
        <v>17</v>
      </c>
      <c r="E208" s="4">
        <v>7500</v>
      </c>
      <c r="F208" s="5">
        <f t="shared" si="544"/>
        <v>3900</v>
      </c>
      <c r="G208" s="6">
        <f t="shared" si="545"/>
        <v>1875</v>
      </c>
      <c r="H208" s="5">
        <f t="shared" si="546"/>
        <v>600</v>
      </c>
      <c r="I208" s="7">
        <f t="shared" si="547"/>
        <v>13875</v>
      </c>
      <c r="J208" s="8">
        <f t="shared" si="548"/>
        <v>937.5</v>
      </c>
      <c r="K208" s="5">
        <f t="shared" si="549"/>
        <v>200</v>
      </c>
      <c r="L208" s="4">
        <v>3500</v>
      </c>
      <c r="M208" s="10">
        <f t="shared" si="550"/>
        <v>4637.5</v>
      </c>
      <c r="N208" s="11">
        <f t="shared" si="551"/>
        <v>9237.5</v>
      </c>
    </row>
    <row r="209" spans="1:14" x14ac:dyDescent="0.25">
      <c r="A209" s="3" t="s">
        <v>229</v>
      </c>
      <c r="B209" s="4" t="s">
        <v>15</v>
      </c>
      <c r="C209" s="4" t="s">
        <v>16</v>
      </c>
      <c r="D209" s="3" t="s">
        <v>17</v>
      </c>
      <c r="E209" s="4">
        <v>18050</v>
      </c>
      <c r="F209" s="5">
        <f>E209*52%</f>
        <v>9386</v>
      </c>
      <c r="G209" s="6">
        <f>IF(D209="A",E209*25%,IF(D209="B",E209*15%,E209*10%))</f>
        <v>4512.5</v>
      </c>
      <c r="H209" s="5">
        <f>E209*8%</f>
        <v>1444</v>
      </c>
      <c r="I209" s="7">
        <f>SUM(E209:H209)</f>
        <v>33392.5</v>
      </c>
      <c r="J209" s="8">
        <f>E209*12.5%</f>
        <v>2256.25</v>
      </c>
      <c r="K209" s="5">
        <f>IF(I209&lt;=10000,100,IF(AND(I209&gt;10000,I209&lt;20000),200,300))</f>
        <v>300</v>
      </c>
      <c r="L209" s="9">
        <v>500</v>
      </c>
      <c r="M209" s="10">
        <f>SUM(J209:L209)</f>
        <v>3056.25</v>
      </c>
      <c r="N209" s="11">
        <f>I209-M209</f>
        <v>30336.25</v>
      </c>
    </row>
    <row r="210" spans="1:14" x14ac:dyDescent="0.25">
      <c r="A210" s="3" t="s">
        <v>230</v>
      </c>
      <c r="B210" s="4" t="s">
        <v>19</v>
      </c>
      <c r="C210" s="4" t="s">
        <v>20</v>
      </c>
      <c r="D210" s="3" t="s">
        <v>21</v>
      </c>
      <c r="E210" s="4">
        <v>3500</v>
      </c>
      <c r="F210" s="5">
        <f t="shared" ref="F210:F211" si="552">E210*52%</f>
        <v>1820</v>
      </c>
      <c r="G210" s="6">
        <f t="shared" ref="G210:G211" si="553">IF(D210="A",E210*25%,IF(D210="B",E210*15%,E210*10%))</f>
        <v>525</v>
      </c>
      <c r="H210" s="5">
        <f t="shared" ref="H210:H211" si="554">E210*8%</f>
        <v>280</v>
      </c>
      <c r="I210" s="7">
        <f t="shared" ref="I210:I211" si="555">SUM(E210:H210)</f>
        <v>6125</v>
      </c>
      <c r="J210" s="8">
        <f t="shared" ref="J210:J211" si="556">E210*12.5%</f>
        <v>437.5</v>
      </c>
      <c r="K210" s="5">
        <f t="shared" ref="K210:K211" si="557">IF(I210&lt;=10000,100,IF(AND(I210&gt;10000,I210&lt;20000),200,300))</f>
        <v>100</v>
      </c>
      <c r="L210" s="4">
        <v>200</v>
      </c>
      <c r="M210" s="10">
        <f t="shared" ref="M210:M211" si="558">SUM(J210:L210)</f>
        <v>737.5</v>
      </c>
      <c r="N210" s="11">
        <f t="shared" ref="N210:N211" si="559">I210-M210</f>
        <v>5387.5</v>
      </c>
    </row>
    <row r="211" spans="1:14" x14ac:dyDescent="0.25">
      <c r="A211" s="3" t="s">
        <v>231</v>
      </c>
      <c r="B211" s="4" t="s">
        <v>23</v>
      </c>
      <c r="C211" s="4" t="s">
        <v>24</v>
      </c>
      <c r="D211" s="3" t="s">
        <v>17</v>
      </c>
      <c r="E211" s="4">
        <v>7500</v>
      </c>
      <c r="F211" s="5">
        <f t="shared" si="552"/>
        <v>3900</v>
      </c>
      <c r="G211" s="6">
        <f t="shared" si="553"/>
        <v>1875</v>
      </c>
      <c r="H211" s="5">
        <f t="shared" si="554"/>
        <v>600</v>
      </c>
      <c r="I211" s="7">
        <f t="shared" si="555"/>
        <v>13875</v>
      </c>
      <c r="J211" s="8">
        <f t="shared" si="556"/>
        <v>937.5</v>
      </c>
      <c r="K211" s="5">
        <f t="shared" si="557"/>
        <v>200</v>
      </c>
      <c r="L211" s="4">
        <v>3500</v>
      </c>
      <c r="M211" s="10">
        <f t="shared" si="558"/>
        <v>4637.5</v>
      </c>
      <c r="N211" s="11">
        <f t="shared" si="559"/>
        <v>9237.5</v>
      </c>
    </row>
    <row r="212" spans="1:14" x14ac:dyDescent="0.25">
      <c r="A212" s="3" t="s">
        <v>232</v>
      </c>
      <c r="B212" s="4" t="s">
        <v>15</v>
      </c>
      <c r="C212" s="4" t="s">
        <v>16</v>
      </c>
      <c r="D212" s="3" t="s">
        <v>17</v>
      </c>
      <c r="E212" s="4">
        <v>18050</v>
      </c>
      <c r="F212" s="5">
        <f>E212*52%</f>
        <v>9386</v>
      </c>
      <c r="G212" s="6">
        <f>IF(D212="A",E212*25%,IF(D212="B",E212*15%,E212*10%))</f>
        <v>4512.5</v>
      </c>
      <c r="H212" s="5">
        <f>E212*8%</f>
        <v>1444</v>
      </c>
      <c r="I212" s="7">
        <f>SUM(E212:H212)</f>
        <v>33392.5</v>
      </c>
      <c r="J212" s="8">
        <f>E212*12.5%</f>
        <v>2256.25</v>
      </c>
      <c r="K212" s="5">
        <f>IF(I212&lt;=10000,100,IF(AND(I212&gt;10000,I212&lt;20000),200,300))</f>
        <v>300</v>
      </c>
      <c r="L212" s="9">
        <v>500</v>
      </c>
      <c r="M212" s="10">
        <f>SUM(J212:L212)</f>
        <v>3056.25</v>
      </c>
      <c r="N212" s="11">
        <f>I212-M212</f>
        <v>30336.25</v>
      </c>
    </row>
    <row r="213" spans="1:14" x14ac:dyDescent="0.25">
      <c r="A213" s="3" t="s">
        <v>233</v>
      </c>
      <c r="B213" s="4" t="s">
        <v>19</v>
      </c>
      <c r="C213" s="4" t="s">
        <v>20</v>
      </c>
      <c r="D213" s="3" t="s">
        <v>21</v>
      </c>
      <c r="E213" s="4">
        <v>3500</v>
      </c>
      <c r="F213" s="5">
        <f t="shared" ref="F213:F214" si="560">E213*52%</f>
        <v>1820</v>
      </c>
      <c r="G213" s="6">
        <f t="shared" ref="G213:G214" si="561">IF(D213="A",E213*25%,IF(D213="B",E213*15%,E213*10%))</f>
        <v>525</v>
      </c>
      <c r="H213" s="5">
        <f t="shared" ref="H213:H214" si="562">E213*8%</f>
        <v>280</v>
      </c>
      <c r="I213" s="7">
        <f t="shared" ref="I213:I214" si="563">SUM(E213:H213)</f>
        <v>6125</v>
      </c>
      <c r="J213" s="8">
        <f t="shared" ref="J213:J214" si="564">E213*12.5%</f>
        <v>437.5</v>
      </c>
      <c r="K213" s="5">
        <f t="shared" ref="K213:K214" si="565">IF(I213&lt;=10000,100,IF(AND(I213&gt;10000,I213&lt;20000),200,300))</f>
        <v>100</v>
      </c>
      <c r="L213" s="4">
        <v>200</v>
      </c>
      <c r="M213" s="10">
        <f t="shared" ref="M213:M214" si="566">SUM(J213:L213)</f>
        <v>737.5</v>
      </c>
      <c r="N213" s="11">
        <f t="shared" ref="N213:N214" si="567">I213-M213</f>
        <v>5387.5</v>
      </c>
    </row>
    <row r="214" spans="1:14" x14ac:dyDescent="0.25">
      <c r="A214" s="3" t="s">
        <v>234</v>
      </c>
      <c r="B214" s="4" t="s">
        <v>23</v>
      </c>
      <c r="C214" s="4" t="s">
        <v>24</v>
      </c>
      <c r="D214" s="3" t="s">
        <v>17</v>
      </c>
      <c r="E214" s="4">
        <v>7500</v>
      </c>
      <c r="F214" s="5">
        <f t="shared" si="560"/>
        <v>3900</v>
      </c>
      <c r="G214" s="6">
        <f t="shared" si="561"/>
        <v>1875</v>
      </c>
      <c r="H214" s="5">
        <f t="shared" si="562"/>
        <v>600</v>
      </c>
      <c r="I214" s="7">
        <f t="shared" si="563"/>
        <v>13875</v>
      </c>
      <c r="J214" s="8">
        <f t="shared" si="564"/>
        <v>937.5</v>
      </c>
      <c r="K214" s="5">
        <f t="shared" si="565"/>
        <v>200</v>
      </c>
      <c r="L214" s="4">
        <v>3500</v>
      </c>
      <c r="M214" s="10">
        <f t="shared" si="566"/>
        <v>4637.5</v>
      </c>
      <c r="N214" s="11">
        <f t="shared" si="567"/>
        <v>9237.5</v>
      </c>
    </row>
    <row r="215" spans="1:14" x14ac:dyDescent="0.25">
      <c r="A215" s="3" t="s">
        <v>235</v>
      </c>
      <c r="B215" s="4" t="s">
        <v>15</v>
      </c>
      <c r="C215" s="4" t="s">
        <v>16</v>
      </c>
      <c r="D215" s="3" t="s">
        <v>17</v>
      </c>
      <c r="E215" s="4">
        <v>18050</v>
      </c>
      <c r="F215" s="5">
        <f>E215*52%</f>
        <v>9386</v>
      </c>
      <c r="G215" s="6">
        <f>IF(D215="A",E215*25%,IF(D215="B",E215*15%,E215*10%))</f>
        <v>4512.5</v>
      </c>
      <c r="H215" s="5">
        <f>E215*8%</f>
        <v>1444</v>
      </c>
      <c r="I215" s="7">
        <f>SUM(E215:H215)</f>
        <v>33392.5</v>
      </c>
      <c r="J215" s="8">
        <f>E215*12.5%</f>
        <v>2256.25</v>
      </c>
      <c r="K215" s="5">
        <f>IF(I215&lt;=10000,100,IF(AND(I215&gt;10000,I215&lt;20000),200,300))</f>
        <v>300</v>
      </c>
      <c r="L215" s="9">
        <v>500</v>
      </c>
      <c r="M215" s="10">
        <f>SUM(J215:L215)</f>
        <v>3056.25</v>
      </c>
      <c r="N215" s="11">
        <f>I215-M215</f>
        <v>30336.25</v>
      </c>
    </row>
    <row r="216" spans="1:14" x14ac:dyDescent="0.25">
      <c r="A216" s="3" t="s">
        <v>236</v>
      </c>
      <c r="B216" s="4" t="s">
        <v>19</v>
      </c>
      <c r="C216" s="4" t="s">
        <v>20</v>
      </c>
      <c r="D216" s="3" t="s">
        <v>21</v>
      </c>
      <c r="E216" s="4">
        <v>3500</v>
      </c>
      <c r="F216" s="5">
        <f t="shared" ref="F216:F217" si="568">E216*52%</f>
        <v>1820</v>
      </c>
      <c r="G216" s="6">
        <f t="shared" ref="G216:G217" si="569">IF(D216="A",E216*25%,IF(D216="B",E216*15%,E216*10%))</f>
        <v>525</v>
      </c>
      <c r="H216" s="5">
        <f t="shared" ref="H216:H217" si="570">E216*8%</f>
        <v>280</v>
      </c>
      <c r="I216" s="7">
        <f t="shared" ref="I216:I217" si="571">SUM(E216:H216)</f>
        <v>6125</v>
      </c>
      <c r="J216" s="8">
        <f t="shared" ref="J216:J217" si="572">E216*12.5%</f>
        <v>437.5</v>
      </c>
      <c r="K216" s="5">
        <f t="shared" ref="K216:K217" si="573">IF(I216&lt;=10000,100,IF(AND(I216&gt;10000,I216&lt;20000),200,300))</f>
        <v>100</v>
      </c>
      <c r="L216" s="4">
        <v>200</v>
      </c>
      <c r="M216" s="10">
        <f t="shared" ref="M216:M217" si="574">SUM(J216:L216)</f>
        <v>737.5</v>
      </c>
      <c r="N216" s="11">
        <f t="shared" ref="N216:N217" si="575">I216-M216</f>
        <v>5387.5</v>
      </c>
    </row>
    <row r="217" spans="1:14" x14ac:dyDescent="0.25">
      <c r="A217" s="3" t="s">
        <v>237</v>
      </c>
      <c r="B217" s="4" t="s">
        <v>23</v>
      </c>
      <c r="C217" s="4" t="s">
        <v>24</v>
      </c>
      <c r="D217" s="3" t="s">
        <v>17</v>
      </c>
      <c r="E217" s="4">
        <v>7500</v>
      </c>
      <c r="F217" s="5">
        <f t="shared" si="568"/>
        <v>3900</v>
      </c>
      <c r="G217" s="6">
        <f t="shared" si="569"/>
        <v>1875</v>
      </c>
      <c r="H217" s="5">
        <f t="shared" si="570"/>
        <v>600</v>
      </c>
      <c r="I217" s="7">
        <f t="shared" si="571"/>
        <v>13875</v>
      </c>
      <c r="J217" s="8">
        <f t="shared" si="572"/>
        <v>937.5</v>
      </c>
      <c r="K217" s="5">
        <f t="shared" si="573"/>
        <v>200</v>
      </c>
      <c r="L217" s="4">
        <v>3500</v>
      </c>
      <c r="M217" s="10">
        <f t="shared" si="574"/>
        <v>4637.5</v>
      </c>
      <c r="N217" s="11">
        <f t="shared" si="575"/>
        <v>9237.5</v>
      </c>
    </row>
    <row r="218" spans="1:14" x14ac:dyDescent="0.25">
      <c r="A218" s="3" t="s">
        <v>238</v>
      </c>
      <c r="B218" s="4" t="s">
        <v>15</v>
      </c>
      <c r="C218" s="4" t="s">
        <v>16</v>
      </c>
      <c r="D218" s="3" t="s">
        <v>17</v>
      </c>
      <c r="E218" s="4">
        <v>18050</v>
      </c>
      <c r="F218" s="5">
        <f>E218*52%</f>
        <v>9386</v>
      </c>
      <c r="G218" s="6">
        <f>IF(D218="A",E218*25%,IF(D218="B",E218*15%,E218*10%))</f>
        <v>4512.5</v>
      </c>
      <c r="H218" s="5">
        <f>E218*8%</f>
        <v>1444</v>
      </c>
      <c r="I218" s="7">
        <f>SUM(E218:H218)</f>
        <v>33392.5</v>
      </c>
      <c r="J218" s="8">
        <f>E218*12.5%</f>
        <v>2256.25</v>
      </c>
      <c r="K218" s="5">
        <f>IF(I218&lt;=10000,100,IF(AND(I218&gt;10000,I218&lt;20000),200,300))</f>
        <v>300</v>
      </c>
      <c r="L218" s="9">
        <v>500</v>
      </c>
      <c r="M218" s="10">
        <f>SUM(J218:L218)</f>
        <v>3056.25</v>
      </c>
      <c r="N218" s="11">
        <f>I218-M218</f>
        <v>30336.25</v>
      </c>
    </row>
    <row r="219" spans="1:14" x14ac:dyDescent="0.25">
      <c r="A219" s="3" t="s">
        <v>239</v>
      </c>
      <c r="B219" s="4" t="s">
        <v>19</v>
      </c>
      <c r="C219" s="4" t="s">
        <v>20</v>
      </c>
      <c r="D219" s="3" t="s">
        <v>21</v>
      </c>
      <c r="E219" s="4">
        <v>3500</v>
      </c>
      <c r="F219" s="5">
        <f t="shared" ref="F219:F220" si="576">E219*52%</f>
        <v>1820</v>
      </c>
      <c r="G219" s="6">
        <f t="shared" ref="G219:G220" si="577">IF(D219="A",E219*25%,IF(D219="B",E219*15%,E219*10%))</f>
        <v>525</v>
      </c>
      <c r="H219" s="5">
        <f t="shared" ref="H219:H220" si="578">E219*8%</f>
        <v>280</v>
      </c>
      <c r="I219" s="7">
        <f t="shared" ref="I219:I220" si="579">SUM(E219:H219)</f>
        <v>6125</v>
      </c>
      <c r="J219" s="8">
        <f t="shared" ref="J219:J220" si="580">E219*12.5%</f>
        <v>437.5</v>
      </c>
      <c r="K219" s="5">
        <f t="shared" ref="K219:K220" si="581">IF(I219&lt;=10000,100,IF(AND(I219&gt;10000,I219&lt;20000),200,300))</f>
        <v>100</v>
      </c>
      <c r="L219" s="4">
        <v>200</v>
      </c>
      <c r="M219" s="10">
        <f t="shared" ref="M219:M220" si="582">SUM(J219:L219)</f>
        <v>737.5</v>
      </c>
      <c r="N219" s="11">
        <f t="shared" ref="N219:N220" si="583">I219-M219</f>
        <v>5387.5</v>
      </c>
    </row>
    <row r="220" spans="1:14" x14ac:dyDescent="0.25">
      <c r="A220" s="3" t="s">
        <v>240</v>
      </c>
      <c r="B220" s="4" t="s">
        <v>23</v>
      </c>
      <c r="C220" s="4" t="s">
        <v>24</v>
      </c>
      <c r="D220" s="3" t="s">
        <v>17</v>
      </c>
      <c r="E220" s="4">
        <v>7500</v>
      </c>
      <c r="F220" s="5">
        <f t="shared" si="576"/>
        <v>3900</v>
      </c>
      <c r="G220" s="6">
        <f t="shared" si="577"/>
        <v>1875</v>
      </c>
      <c r="H220" s="5">
        <f t="shared" si="578"/>
        <v>600</v>
      </c>
      <c r="I220" s="7">
        <f t="shared" si="579"/>
        <v>13875</v>
      </c>
      <c r="J220" s="8">
        <f t="shared" si="580"/>
        <v>937.5</v>
      </c>
      <c r="K220" s="5">
        <f t="shared" si="581"/>
        <v>200</v>
      </c>
      <c r="L220" s="4">
        <v>3500</v>
      </c>
      <c r="M220" s="10">
        <f t="shared" si="582"/>
        <v>4637.5</v>
      </c>
      <c r="N220" s="11">
        <f t="shared" si="583"/>
        <v>9237.5</v>
      </c>
    </row>
    <row r="221" spans="1:14" x14ac:dyDescent="0.25">
      <c r="A221" s="3" t="s">
        <v>241</v>
      </c>
      <c r="B221" s="4" t="s">
        <v>15</v>
      </c>
      <c r="C221" s="4" t="s">
        <v>16</v>
      </c>
      <c r="D221" s="3" t="s">
        <v>17</v>
      </c>
      <c r="E221" s="4">
        <v>18050</v>
      </c>
      <c r="F221" s="5">
        <f>E221*52%</f>
        <v>9386</v>
      </c>
      <c r="G221" s="6">
        <f>IF(D221="A",E221*25%,IF(D221="B",E221*15%,E221*10%))</f>
        <v>4512.5</v>
      </c>
      <c r="H221" s="5">
        <f>E221*8%</f>
        <v>1444</v>
      </c>
      <c r="I221" s="7">
        <f>SUM(E221:H221)</f>
        <v>33392.5</v>
      </c>
      <c r="J221" s="8">
        <f>E221*12.5%</f>
        <v>2256.25</v>
      </c>
      <c r="K221" s="5">
        <f>IF(I221&lt;=10000,100,IF(AND(I221&gt;10000,I221&lt;20000),200,300))</f>
        <v>300</v>
      </c>
      <c r="L221" s="9">
        <v>500</v>
      </c>
      <c r="M221" s="10">
        <f>SUM(J221:L221)</f>
        <v>3056.25</v>
      </c>
      <c r="N221" s="11">
        <f>I221-M221</f>
        <v>30336.25</v>
      </c>
    </row>
    <row r="222" spans="1:14" x14ac:dyDescent="0.25">
      <c r="A222" s="3" t="s">
        <v>242</v>
      </c>
      <c r="B222" s="4" t="s">
        <v>19</v>
      </c>
      <c r="C222" s="4" t="s">
        <v>20</v>
      </c>
      <c r="D222" s="3" t="s">
        <v>21</v>
      </c>
      <c r="E222" s="4">
        <v>3500</v>
      </c>
      <c r="F222" s="5">
        <f t="shared" ref="F222:F223" si="584">E222*52%</f>
        <v>1820</v>
      </c>
      <c r="G222" s="6">
        <f t="shared" ref="G222:G223" si="585">IF(D222="A",E222*25%,IF(D222="B",E222*15%,E222*10%))</f>
        <v>525</v>
      </c>
      <c r="H222" s="5">
        <f t="shared" ref="H222:H223" si="586">E222*8%</f>
        <v>280</v>
      </c>
      <c r="I222" s="7">
        <f t="shared" ref="I222:I223" si="587">SUM(E222:H222)</f>
        <v>6125</v>
      </c>
      <c r="J222" s="8">
        <f t="shared" ref="J222:J223" si="588">E222*12.5%</f>
        <v>437.5</v>
      </c>
      <c r="K222" s="5">
        <f t="shared" ref="K222:K223" si="589">IF(I222&lt;=10000,100,IF(AND(I222&gt;10000,I222&lt;20000),200,300))</f>
        <v>100</v>
      </c>
      <c r="L222" s="4">
        <v>200</v>
      </c>
      <c r="M222" s="10">
        <f t="shared" ref="M222:M223" si="590">SUM(J222:L222)</f>
        <v>737.5</v>
      </c>
      <c r="N222" s="11">
        <f t="shared" ref="N222:N223" si="591">I222-M222</f>
        <v>5387.5</v>
      </c>
    </row>
    <row r="223" spans="1:14" x14ac:dyDescent="0.25">
      <c r="A223" s="3" t="s">
        <v>243</v>
      </c>
      <c r="B223" s="4" t="s">
        <v>23</v>
      </c>
      <c r="C223" s="4" t="s">
        <v>24</v>
      </c>
      <c r="D223" s="3" t="s">
        <v>17</v>
      </c>
      <c r="E223" s="4">
        <v>7500</v>
      </c>
      <c r="F223" s="5">
        <f t="shared" si="584"/>
        <v>3900</v>
      </c>
      <c r="G223" s="6">
        <f t="shared" si="585"/>
        <v>1875</v>
      </c>
      <c r="H223" s="5">
        <f t="shared" si="586"/>
        <v>600</v>
      </c>
      <c r="I223" s="7">
        <f t="shared" si="587"/>
        <v>13875</v>
      </c>
      <c r="J223" s="8">
        <f t="shared" si="588"/>
        <v>937.5</v>
      </c>
      <c r="K223" s="5">
        <f t="shared" si="589"/>
        <v>200</v>
      </c>
      <c r="L223" s="4">
        <v>3500</v>
      </c>
      <c r="M223" s="10">
        <f t="shared" si="590"/>
        <v>4637.5</v>
      </c>
      <c r="N223" s="11">
        <f t="shared" si="591"/>
        <v>9237.5</v>
      </c>
    </row>
    <row r="224" spans="1:14" x14ac:dyDescent="0.25">
      <c r="A224" s="3" t="s">
        <v>244</v>
      </c>
      <c r="B224" s="4" t="s">
        <v>15</v>
      </c>
      <c r="C224" s="4" t="s">
        <v>16</v>
      </c>
      <c r="D224" s="3" t="s">
        <v>17</v>
      </c>
      <c r="E224" s="4">
        <v>18050</v>
      </c>
      <c r="F224" s="5">
        <f>E224*52%</f>
        <v>9386</v>
      </c>
      <c r="G224" s="6">
        <f>IF(D224="A",E224*25%,IF(D224="B",E224*15%,E224*10%))</f>
        <v>4512.5</v>
      </c>
      <c r="H224" s="5">
        <f>E224*8%</f>
        <v>1444</v>
      </c>
      <c r="I224" s="7">
        <f>SUM(E224:H224)</f>
        <v>33392.5</v>
      </c>
      <c r="J224" s="8">
        <f>E224*12.5%</f>
        <v>2256.25</v>
      </c>
      <c r="K224" s="5">
        <f>IF(I224&lt;=10000,100,IF(AND(I224&gt;10000,I224&lt;20000),200,300))</f>
        <v>300</v>
      </c>
      <c r="L224" s="9">
        <v>500</v>
      </c>
      <c r="M224" s="10">
        <f>SUM(J224:L224)</f>
        <v>3056.25</v>
      </c>
      <c r="N224" s="11">
        <f>I224-M224</f>
        <v>30336.25</v>
      </c>
    </row>
    <row r="225" spans="1:14" x14ac:dyDescent="0.25">
      <c r="A225" s="3" t="s">
        <v>245</v>
      </c>
      <c r="B225" s="4" t="s">
        <v>19</v>
      </c>
      <c r="C225" s="4" t="s">
        <v>20</v>
      </c>
      <c r="D225" s="3" t="s">
        <v>21</v>
      </c>
      <c r="E225" s="4">
        <v>3500</v>
      </c>
      <c r="F225" s="5">
        <f t="shared" ref="F225:F226" si="592">E225*52%</f>
        <v>1820</v>
      </c>
      <c r="G225" s="6">
        <f t="shared" ref="G225:G226" si="593">IF(D225="A",E225*25%,IF(D225="B",E225*15%,E225*10%))</f>
        <v>525</v>
      </c>
      <c r="H225" s="5">
        <f t="shared" ref="H225:H226" si="594">E225*8%</f>
        <v>280</v>
      </c>
      <c r="I225" s="7">
        <f t="shared" ref="I225:I226" si="595">SUM(E225:H225)</f>
        <v>6125</v>
      </c>
      <c r="J225" s="8">
        <f t="shared" ref="J225:J226" si="596">E225*12.5%</f>
        <v>437.5</v>
      </c>
      <c r="K225" s="5">
        <f t="shared" ref="K225:K226" si="597">IF(I225&lt;=10000,100,IF(AND(I225&gt;10000,I225&lt;20000),200,300))</f>
        <v>100</v>
      </c>
      <c r="L225" s="4">
        <v>200</v>
      </c>
      <c r="M225" s="10">
        <f t="shared" ref="M225:M226" si="598">SUM(J225:L225)</f>
        <v>737.5</v>
      </c>
      <c r="N225" s="11">
        <f t="shared" ref="N225:N226" si="599">I225-M225</f>
        <v>5387.5</v>
      </c>
    </row>
    <row r="226" spans="1:14" x14ac:dyDescent="0.25">
      <c r="A226" s="3" t="s">
        <v>246</v>
      </c>
      <c r="B226" s="4" t="s">
        <v>23</v>
      </c>
      <c r="C226" s="4" t="s">
        <v>24</v>
      </c>
      <c r="D226" s="3" t="s">
        <v>17</v>
      </c>
      <c r="E226" s="4">
        <v>7500</v>
      </c>
      <c r="F226" s="5">
        <f t="shared" si="592"/>
        <v>3900</v>
      </c>
      <c r="G226" s="6">
        <f t="shared" si="593"/>
        <v>1875</v>
      </c>
      <c r="H226" s="5">
        <f t="shared" si="594"/>
        <v>600</v>
      </c>
      <c r="I226" s="7">
        <f t="shared" si="595"/>
        <v>13875</v>
      </c>
      <c r="J226" s="8">
        <f t="shared" si="596"/>
        <v>937.5</v>
      </c>
      <c r="K226" s="5">
        <f t="shared" si="597"/>
        <v>200</v>
      </c>
      <c r="L226" s="4">
        <v>3500</v>
      </c>
      <c r="M226" s="10">
        <f t="shared" si="598"/>
        <v>4637.5</v>
      </c>
      <c r="N226" s="11">
        <f t="shared" si="599"/>
        <v>9237.5</v>
      </c>
    </row>
    <row r="227" spans="1:14" x14ac:dyDescent="0.25">
      <c r="A227" s="3" t="s">
        <v>247</v>
      </c>
      <c r="B227" s="4" t="s">
        <v>15</v>
      </c>
      <c r="C227" s="4" t="s">
        <v>16</v>
      </c>
      <c r="D227" s="3" t="s">
        <v>17</v>
      </c>
      <c r="E227" s="4">
        <v>18050</v>
      </c>
      <c r="F227" s="5">
        <f>E227*52%</f>
        <v>9386</v>
      </c>
      <c r="G227" s="6">
        <f>IF(D227="A",E227*25%,IF(D227="B",E227*15%,E227*10%))</f>
        <v>4512.5</v>
      </c>
      <c r="H227" s="5">
        <f>E227*8%</f>
        <v>1444</v>
      </c>
      <c r="I227" s="7">
        <f>SUM(E227:H227)</f>
        <v>33392.5</v>
      </c>
      <c r="J227" s="8">
        <f>E227*12.5%</f>
        <v>2256.25</v>
      </c>
      <c r="K227" s="5">
        <f>IF(I227&lt;=10000,100,IF(AND(I227&gt;10000,I227&lt;20000),200,300))</f>
        <v>300</v>
      </c>
      <c r="L227" s="9">
        <v>500</v>
      </c>
      <c r="M227" s="10">
        <f>SUM(J227:L227)</f>
        <v>3056.25</v>
      </c>
      <c r="N227" s="11">
        <f>I227-M227</f>
        <v>30336.25</v>
      </c>
    </row>
    <row r="228" spans="1:14" x14ac:dyDescent="0.25">
      <c r="A228" s="3" t="s">
        <v>248</v>
      </c>
      <c r="B228" s="4" t="s">
        <v>19</v>
      </c>
      <c r="C228" s="4" t="s">
        <v>20</v>
      </c>
      <c r="D228" s="3" t="s">
        <v>21</v>
      </c>
      <c r="E228" s="4">
        <v>3500</v>
      </c>
      <c r="F228" s="5">
        <f t="shared" ref="F228:F229" si="600">E228*52%</f>
        <v>1820</v>
      </c>
      <c r="G228" s="6">
        <f t="shared" ref="G228:G229" si="601">IF(D228="A",E228*25%,IF(D228="B",E228*15%,E228*10%))</f>
        <v>525</v>
      </c>
      <c r="H228" s="5">
        <f t="shared" ref="H228:H229" si="602">E228*8%</f>
        <v>280</v>
      </c>
      <c r="I228" s="7">
        <f t="shared" ref="I228:I229" si="603">SUM(E228:H228)</f>
        <v>6125</v>
      </c>
      <c r="J228" s="8">
        <f t="shared" ref="J228:J229" si="604">E228*12.5%</f>
        <v>437.5</v>
      </c>
      <c r="K228" s="5">
        <f t="shared" ref="K228:K229" si="605">IF(I228&lt;=10000,100,IF(AND(I228&gt;10000,I228&lt;20000),200,300))</f>
        <v>100</v>
      </c>
      <c r="L228" s="4">
        <v>200</v>
      </c>
      <c r="M228" s="10">
        <f t="shared" ref="M228:M229" si="606">SUM(J228:L228)</f>
        <v>737.5</v>
      </c>
      <c r="N228" s="11">
        <f t="shared" ref="N228:N229" si="607">I228-M228</f>
        <v>5387.5</v>
      </c>
    </row>
    <row r="229" spans="1:14" x14ac:dyDescent="0.25">
      <c r="A229" s="3" t="s">
        <v>249</v>
      </c>
      <c r="B229" s="4" t="s">
        <v>23</v>
      </c>
      <c r="C229" s="4" t="s">
        <v>24</v>
      </c>
      <c r="D229" s="3" t="s">
        <v>17</v>
      </c>
      <c r="E229" s="4">
        <v>7500</v>
      </c>
      <c r="F229" s="5">
        <f t="shared" si="600"/>
        <v>3900</v>
      </c>
      <c r="G229" s="6">
        <f t="shared" si="601"/>
        <v>1875</v>
      </c>
      <c r="H229" s="5">
        <f t="shared" si="602"/>
        <v>600</v>
      </c>
      <c r="I229" s="7">
        <f t="shared" si="603"/>
        <v>13875</v>
      </c>
      <c r="J229" s="8">
        <f t="shared" si="604"/>
        <v>937.5</v>
      </c>
      <c r="K229" s="5">
        <f t="shared" si="605"/>
        <v>200</v>
      </c>
      <c r="L229" s="4">
        <v>3500</v>
      </c>
      <c r="M229" s="10">
        <f t="shared" si="606"/>
        <v>4637.5</v>
      </c>
      <c r="N229" s="11">
        <f t="shared" si="607"/>
        <v>9237.5</v>
      </c>
    </row>
    <row r="230" spans="1:14" x14ac:dyDescent="0.25">
      <c r="A230" s="3" t="s">
        <v>250</v>
      </c>
      <c r="B230" s="4" t="s">
        <v>15</v>
      </c>
      <c r="C230" s="4" t="s">
        <v>16</v>
      </c>
      <c r="D230" s="3" t="s">
        <v>17</v>
      </c>
      <c r="E230" s="4">
        <v>18050</v>
      </c>
      <c r="F230" s="5">
        <f>E230*52%</f>
        <v>9386</v>
      </c>
      <c r="G230" s="6">
        <f>IF(D230="A",E230*25%,IF(D230="B",E230*15%,E230*10%))</f>
        <v>4512.5</v>
      </c>
      <c r="H230" s="5">
        <f>E230*8%</f>
        <v>1444</v>
      </c>
      <c r="I230" s="7">
        <f>SUM(E230:H230)</f>
        <v>33392.5</v>
      </c>
      <c r="J230" s="8">
        <f>E230*12.5%</f>
        <v>2256.25</v>
      </c>
      <c r="K230" s="5">
        <f>IF(I230&lt;=10000,100,IF(AND(I230&gt;10000,I230&lt;20000),200,300))</f>
        <v>300</v>
      </c>
      <c r="L230" s="9">
        <v>500</v>
      </c>
      <c r="M230" s="10">
        <f>SUM(J230:L230)</f>
        <v>3056.25</v>
      </c>
      <c r="N230" s="11">
        <f>I230-M230</f>
        <v>30336.25</v>
      </c>
    </row>
    <row r="231" spans="1:14" x14ac:dyDescent="0.25">
      <c r="A231" s="3" t="s">
        <v>251</v>
      </c>
      <c r="B231" s="4" t="s">
        <v>19</v>
      </c>
      <c r="C231" s="4" t="s">
        <v>20</v>
      </c>
      <c r="D231" s="3" t="s">
        <v>21</v>
      </c>
      <c r="E231" s="4">
        <v>3500</v>
      </c>
      <c r="F231" s="5">
        <f t="shared" ref="F231:F232" si="608">E231*52%</f>
        <v>1820</v>
      </c>
      <c r="G231" s="6">
        <f t="shared" ref="G231:G232" si="609">IF(D231="A",E231*25%,IF(D231="B",E231*15%,E231*10%))</f>
        <v>525</v>
      </c>
      <c r="H231" s="5">
        <f t="shared" ref="H231:H232" si="610">E231*8%</f>
        <v>280</v>
      </c>
      <c r="I231" s="7">
        <f t="shared" ref="I231:I232" si="611">SUM(E231:H231)</f>
        <v>6125</v>
      </c>
      <c r="J231" s="8">
        <f t="shared" ref="J231:J232" si="612">E231*12.5%</f>
        <v>437.5</v>
      </c>
      <c r="K231" s="5">
        <f t="shared" ref="K231:K232" si="613">IF(I231&lt;=10000,100,IF(AND(I231&gt;10000,I231&lt;20000),200,300))</f>
        <v>100</v>
      </c>
      <c r="L231" s="4">
        <v>200</v>
      </c>
      <c r="M231" s="10">
        <f t="shared" ref="M231:M232" si="614">SUM(J231:L231)</f>
        <v>737.5</v>
      </c>
      <c r="N231" s="11">
        <f t="shared" ref="N231:N232" si="615">I231-M231</f>
        <v>5387.5</v>
      </c>
    </row>
    <row r="232" spans="1:14" x14ac:dyDescent="0.25">
      <c r="A232" s="3" t="s">
        <v>252</v>
      </c>
      <c r="B232" s="4" t="s">
        <v>23</v>
      </c>
      <c r="C232" s="4" t="s">
        <v>24</v>
      </c>
      <c r="D232" s="3" t="s">
        <v>17</v>
      </c>
      <c r="E232" s="4">
        <v>7500</v>
      </c>
      <c r="F232" s="5">
        <f t="shared" si="608"/>
        <v>3900</v>
      </c>
      <c r="G232" s="6">
        <f t="shared" si="609"/>
        <v>1875</v>
      </c>
      <c r="H232" s="5">
        <f t="shared" si="610"/>
        <v>600</v>
      </c>
      <c r="I232" s="7">
        <f t="shared" si="611"/>
        <v>13875</v>
      </c>
      <c r="J232" s="8">
        <f t="shared" si="612"/>
        <v>937.5</v>
      </c>
      <c r="K232" s="5">
        <f t="shared" si="613"/>
        <v>200</v>
      </c>
      <c r="L232" s="4">
        <v>3500</v>
      </c>
      <c r="M232" s="10">
        <f t="shared" si="614"/>
        <v>4637.5</v>
      </c>
      <c r="N232" s="11">
        <f t="shared" si="615"/>
        <v>9237.5</v>
      </c>
    </row>
    <row r="233" spans="1:14" x14ac:dyDescent="0.25">
      <c r="A233" s="3" t="s">
        <v>253</v>
      </c>
      <c r="B233" s="4" t="s">
        <v>15</v>
      </c>
      <c r="C233" s="4" t="s">
        <v>16</v>
      </c>
      <c r="D233" s="3" t="s">
        <v>17</v>
      </c>
      <c r="E233" s="4">
        <v>18050</v>
      </c>
      <c r="F233" s="5">
        <f>E233*52%</f>
        <v>9386</v>
      </c>
      <c r="G233" s="6">
        <f>IF(D233="A",E233*25%,IF(D233="B",E233*15%,E233*10%))</f>
        <v>4512.5</v>
      </c>
      <c r="H233" s="5">
        <f>E233*8%</f>
        <v>1444</v>
      </c>
      <c r="I233" s="7">
        <f>SUM(E233:H233)</f>
        <v>33392.5</v>
      </c>
      <c r="J233" s="8">
        <f>E233*12.5%</f>
        <v>2256.25</v>
      </c>
      <c r="K233" s="5">
        <f>IF(I233&lt;=10000,100,IF(AND(I233&gt;10000,I233&lt;20000),200,300))</f>
        <v>300</v>
      </c>
      <c r="L233" s="9">
        <v>500</v>
      </c>
      <c r="M233" s="10">
        <f>SUM(J233:L233)</f>
        <v>3056.25</v>
      </c>
      <c r="N233" s="11">
        <f>I233-M233</f>
        <v>30336.25</v>
      </c>
    </row>
    <row r="234" spans="1:14" x14ac:dyDescent="0.25">
      <c r="A234" s="3" t="s">
        <v>254</v>
      </c>
      <c r="B234" s="4" t="s">
        <v>19</v>
      </c>
      <c r="C234" s="4" t="s">
        <v>20</v>
      </c>
      <c r="D234" s="3" t="s">
        <v>21</v>
      </c>
      <c r="E234" s="4">
        <v>3500</v>
      </c>
      <c r="F234" s="5">
        <f t="shared" ref="F234:F235" si="616">E234*52%</f>
        <v>1820</v>
      </c>
      <c r="G234" s="6">
        <f t="shared" ref="G234:G235" si="617">IF(D234="A",E234*25%,IF(D234="B",E234*15%,E234*10%))</f>
        <v>525</v>
      </c>
      <c r="H234" s="5">
        <f t="shared" ref="H234:H235" si="618">E234*8%</f>
        <v>280</v>
      </c>
      <c r="I234" s="7">
        <f t="shared" ref="I234:I235" si="619">SUM(E234:H234)</f>
        <v>6125</v>
      </c>
      <c r="J234" s="8">
        <f t="shared" ref="J234:J235" si="620">E234*12.5%</f>
        <v>437.5</v>
      </c>
      <c r="K234" s="5">
        <f t="shared" ref="K234:K235" si="621">IF(I234&lt;=10000,100,IF(AND(I234&gt;10000,I234&lt;20000),200,300))</f>
        <v>100</v>
      </c>
      <c r="L234" s="4">
        <v>200</v>
      </c>
      <c r="M234" s="10">
        <f t="shared" ref="M234:M235" si="622">SUM(J234:L234)</f>
        <v>737.5</v>
      </c>
      <c r="N234" s="11">
        <f t="shared" ref="N234:N235" si="623">I234-M234</f>
        <v>5387.5</v>
      </c>
    </row>
    <row r="235" spans="1:14" x14ac:dyDescent="0.25">
      <c r="A235" s="3" t="s">
        <v>255</v>
      </c>
      <c r="B235" s="4" t="s">
        <v>23</v>
      </c>
      <c r="C235" s="4" t="s">
        <v>24</v>
      </c>
      <c r="D235" s="3" t="s">
        <v>17</v>
      </c>
      <c r="E235" s="4">
        <v>7500</v>
      </c>
      <c r="F235" s="5">
        <f t="shared" si="616"/>
        <v>3900</v>
      </c>
      <c r="G235" s="6">
        <f t="shared" si="617"/>
        <v>1875</v>
      </c>
      <c r="H235" s="5">
        <f t="shared" si="618"/>
        <v>600</v>
      </c>
      <c r="I235" s="7">
        <f t="shared" si="619"/>
        <v>13875</v>
      </c>
      <c r="J235" s="8">
        <f t="shared" si="620"/>
        <v>937.5</v>
      </c>
      <c r="K235" s="5">
        <f t="shared" si="621"/>
        <v>200</v>
      </c>
      <c r="L235" s="4">
        <v>3500</v>
      </c>
      <c r="M235" s="10">
        <f t="shared" si="622"/>
        <v>4637.5</v>
      </c>
      <c r="N235" s="11">
        <f t="shared" si="623"/>
        <v>9237.5</v>
      </c>
    </row>
    <row r="236" spans="1:14" x14ac:dyDescent="0.25">
      <c r="A236" s="3" t="s">
        <v>256</v>
      </c>
      <c r="B236" s="4" t="s">
        <v>15</v>
      </c>
      <c r="C236" s="4" t="s">
        <v>16</v>
      </c>
      <c r="D236" s="3" t="s">
        <v>17</v>
      </c>
      <c r="E236" s="4">
        <v>18050</v>
      </c>
      <c r="F236" s="5">
        <f>E236*52%</f>
        <v>9386</v>
      </c>
      <c r="G236" s="6">
        <f>IF(D236="A",E236*25%,IF(D236="B",E236*15%,E236*10%))</f>
        <v>4512.5</v>
      </c>
      <c r="H236" s="5">
        <f>E236*8%</f>
        <v>1444</v>
      </c>
      <c r="I236" s="7">
        <f>SUM(E236:H236)</f>
        <v>33392.5</v>
      </c>
      <c r="J236" s="8">
        <f>E236*12.5%</f>
        <v>2256.25</v>
      </c>
      <c r="K236" s="5">
        <f>IF(I236&lt;=10000,100,IF(AND(I236&gt;10000,I236&lt;20000),200,300))</f>
        <v>300</v>
      </c>
      <c r="L236" s="9">
        <v>500</v>
      </c>
      <c r="M236" s="10">
        <f>SUM(J236:L236)</f>
        <v>3056.25</v>
      </c>
      <c r="N236" s="11">
        <f>I236-M236</f>
        <v>30336.25</v>
      </c>
    </row>
    <row r="237" spans="1:14" x14ac:dyDescent="0.25">
      <c r="A237" s="3" t="s">
        <v>257</v>
      </c>
      <c r="B237" s="4" t="s">
        <v>19</v>
      </c>
      <c r="C237" s="4" t="s">
        <v>20</v>
      </c>
      <c r="D237" s="3" t="s">
        <v>21</v>
      </c>
      <c r="E237" s="4">
        <v>3500</v>
      </c>
      <c r="F237" s="5">
        <f t="shared" ref="F237:F238" si="624">E237*52%</f>
        <v>1820</v>
      </c>
      <c r="G237" s="6">
        <f t="shared" ref="G237:G238" si="625">IF(D237="A",E237*25%,IF(D237="B",E237*15%,E237*10%))</f>
        <v>525</v>
      </c>
      <c r="H237" s="5">
        <f t="shared" ref="H237:H238" si="626">E237*8%</f>
        <v>280</v>
      </c>
      <c r="I237" s="7">
        <f t="shared" ref="I237:I238" si="627">SUM(E237:H237)</f>
        <v>6125</v>
      </c>
      <c r="J237" s="8">
        <f t="shared" ref="J237:J238" si="628">E237*12.5%</f>
        <v>437.5</v>
      </c>
      <c r="K237" s="5">
        <f t="shared" ref="K237:K238" si="629">IF(I237&lt;=10000,100,IF(AND(I237&gt;10000,I237&lt;20000),200,300))</f>
        <v>100</v>
      </c>
      <c r="L237" s="4">
        <v>200</v>
      </c>
      <c r="M237" s="10">
        <f t="shared" ref="M237:M238" si="630">SUM(J237:L237)</f>
        <v>737.5</v>
      </c>
      <c r="N237" s="11">
        <f t="shared" ref="N237:N238" si="631">I237-M237</f>
        <v>5387.5</v>
      </c>
    </row>
    <row r="238" spans="1:14" x14ac:dyDescent="0.25">
      <c r="A238" s="3" t="s">
        <v>258</v>
      </c>
      <c r="B238" s="4" t="s">
        <v>23</v>
      </c>
      <c r="C238" s="4" t="s">
        <v>24</v>
      </c>
      <c r="D238" s="3" t="s">
        <v>17</v>
      </c>
      <c r="E238" s="4">
        <v>7500</v>
      </c>
      <c r="F238" s="5">
        <f t="shared" si="624"/>
        <v>3900</v>
      </c>
      <c r="G238" s="6">
        <f t="shared" si="625"/>
        <v>1875</v>
      </c>
      <c r="H238" s="5">
        <f t="shared" si="626"/>
        <v>600</v>
      </c>
      <c r="I238" s="7">
        <f t="shared" si="627"/>
        <v>13875</v>
      </c>
      <c r="J238" s="8">
        <f t="shared" si="628"/>
        <v>937.5</v>
      </c>
      <c r="K238" s="5">
        <f t="shared" si="629"/>
        <v>200</v>
      </c>
      <c r="L238" s="4">
        <v>3500</v>
      </c>
      <c r="M238" s="10">
        <f t="shared" si="630"/>
        <v>4637.5</v>
      </c>
      <c r="N238" s="11">
        <f t="shared" si="631"/>
        <v>9237.5</v>
      </c>
    </row>
    <row r="239" spans="1:14" x14ac:dyDescent="0.25">
      <c r="A239" s="3" t="s">
        <v>259</v>
      </c>
      <c r="B239" s="4" t="s">
        <v>15</v>
      </c>
      <c r="C239" s="4" t="s">
        <v>16</v>
      </c>
      <c r="D239" s="3" t="s">
        <v>17</v>
      </c>
      <c r="E239" s="4">
        <v>18050</v>
      </c>
      <c r="F239" s="5">
        <f>E239*52%</f>
        <v>9386</v>
      </c>
      <c r="G239" s="6">
        <f>IF(D239="A",E239*25%,IF(D239="B",E239*15%,E239*10%))</f>
        <v>4512.5</v>
      </c>
      <c r="H239" s="5">
        <f>E239*8%</f>
        <v>1444</v>
      </c>
      <c r="I239" s="7">
        <f>SUM(E239:H239)</f>
        <v>33392.5</v>
      </c>
      <c r="J239" s="8">
        <f>E239*12.5%</f>
        <v>2256.25</v>
      </c>
      <c r="K239" s="5">
        <f>IF(I239&lt;=10000,100,IF(AND(I239&gt;10000,I239&lt;20000),200,300))</f>
        <v>300</v>
      </c>
      <c r="L239" s="9">
        <v>500</v>
      </c>
      <c r="M239" s="10">
        <f>SUM(J239:L239)</f>
        <v>3056.25</v>
      </c>
      <c r="N239" s="11">
        <f>I239-M239</f>
        <v>30336.25</v>
      </c>
    </row>
    <row r="240" spans="1:14" x14ac:dyDescent="0.25">
      <c r="A240" s="3" t="s">
        <v>260</v>
      </c>
      <c r="B240" s="4" t="s">
        <v>19</v>
      </c>
      <c r="C240" s="4" t="s">
        <v>20</v>
      </c>
      <c r="D240" s="3" t="s">
        <v>21</v>
      </c>
      <c r="E240" s="4">
        <v>3500</v>
      </c>
      <c r="F240" s="5">
        <f t="shared" ref="F240:F241" si="632">E240*52%</f>
        <v>1820</v>
      </c>
      <c r="G240" s="6">
        <f t="shared" ref="G240:G241" si="633">IF(D240="A",E240*25%,IF(D240="B",E240*15%,E240*10%))</f>
        <v>525</v>
      </c>
      <c r="H240" s="5">
        <f t="shared" ref="H240:H241" si="634">E240*8%</f>
        <v>280</v>
      </c>
      <c r="I240" s="7">
        <f t="shared" ref="I240:I241" si="635">SUM(E240:H240)</f>
        <v>6125</v>
      </c>
      <c r="J240" s="8">
        <f t="shared" ref="J240:J241" si="636">E240*12.5%</f>
        <v>437.5</v>
      </c>
      <c r="K240" s="5">
        <f t="shared" ref="K240:K241" si="637">IF(I240&lt;=10000,100,IF(AND(I240&gt;10000,I240&lt;20000),200,300))</f>
        <v>100</v>
      </c>
      <c r="L240" s="4">
        <v>200</v>
      </c>
      <c r="M240" s="10">
        <f t="shared" ref="M240:M241" si="638">SUM(J240:L240)</f>
        <v>737.5</v>
      </c>
      <c r="N240" s="11">
        <f t="shared" ref="N240:N241" si="639">I240-M240</f>
        <v>5387.5</v>
      </c>
    </row>
    <row r="241" spans="1:14" x14ac:dyDescent="0.25">
      <c r="A241" s="3" t="s">
        <v>261</v>
      </c>
      <c r="B241" s="4" t="s">
        <v>23</v>
      </c>
      <c r="C241" s="4" t="s">
        <v>24</v>
      </c>
      <c r="D241" s="3" t="s">
        <v>17</v>
      </c>
      <c r="E241" s="4">
        <v>7500</v>
      </c>
      <c r="F241" s="5">
        <f t="shared" si="632"/>
        <v>3900</v>
      </c>
      <c r="G241" s="6">
        <f t="shared" si="633"/>
        <v>1875</v>
      </c>
      <c r="H241" s="5">
        <f t="shared" si="634"/>
        <v>600</v>
      </c>
      <c r="I241" s="7">
        <f t="shared" si="635"/>
        <v>13875</v>
      </c>
      <c r="J241" s="8">
        <f t="shared" si="636"/>
        <v>937.5</v>
      </c>
      <c r="K241" s="5">
        <f t="shared" si="637"/>
        <v>200</v>
      </c>
      <c r="L241" s="4">
        <v>3500</v>
      </c>
      <c r="M241" s="10">
        <f t="shared" si="638"/>
        <v>4637.5</v>
      </c>
      <c r="N241" s="11">
        <f t="shared" si="639"/>
        <v>9237.5</v>
      </c>
    </row>
    <row r="242" spans="1:14" x14ac:dyDescent="0.25">
      <c r="A242" s="3" t="s">
        <v>262</v>
      </c>
      <c r="B242" s="4" t="s">
        <v>15</v>
      </c>
      <c r="C242" s="4" t="s">
        <v>16</v>
      </c>
      <c r="D242" s="3" t="s">
        <v>17</v>
      </c>
      <c r="E242" s="4">
        <v>18050</v>
      </c>
      <c r="F242" s="5">
        <f>E242*52%</f>
        <v>9386</v>
      </c>
      <c r="G242" s="6">
        <f>IF(D242="A",E242*25%,IF(D242="B",E242*15%,E242*10%))</f>
        <v>4512.5</v>
      </c>
      <c r="H242" s="5">
        <f>E242*8%</f>
        <v>1444</v>
      </c>
      <c r="I242" s="7">
        <f>SUM(E242:H242)</f>
        <v>33392.5</v>
      </c>
      <c r="J242" s="8">
        <f>E242*12.5%</f>
        <v>2256.25</v>
      </c>
      <c r="K242" s="5">
        <f>IF(I242&lt;=10000,100,IF(AND(I242&gt;10000,I242&lt;20000),200,300))</f>
        <v>300</v>
      </c>
      <c r="L242" s="9">
        <v>500</v>
      </c>
      <c r="M242" s="10">
        <f>SUM(J242:L242)</f>
        <v>3056.25</v>
      </c>
      <c r="N242" s="11">
        <f>I242-M242</f>
        <v>30336.25</v>
      </c>
    </row>
    <row r="243" spans="1:14" x14ac:dyDescent="0.25">
      <c r="A243" s="3" t="s">
        <v>263</v>
      </c>
      <c r="B243" s="4" t="s">
        <v>19</v>
      </c>
      <c r="C243" s="4" t="s">
        <v>20</v>
      </c>
      <c r="D243" s="3" t="s">
        <v>21</v>
      </c>
      <c r="E243" s="4">
        <v>3500</v>
      </c>
      <c r="F243" s="5">
        <f t="shared" ref="F243:F244" si="640">E243*52%</f>
        <v>1820</v>
      </c>
      <c r="G243" s="6">
        <f t="shared" ref="G243:G244" si="641">IF(D243="A",E243*25%,IF(D243="B",E243*15%,E243*10%))</f>
        <v>525</v>
      </c>
      <c r="H243" s="5">
        <f t="shared" ref="H243:H244" si="642">E243*8%</f>
        <v>280</v>
      </c>
      <c r="I243" s="7">
        <f t="shared" ref="I243:I244" si="643">SUM(E243:H243)</f>
        <v>6125</v>
      </c>
      <c r="J243" s="8">
        <f t="shared" ref="J243:J244" si="644">E243*12.5%</f>
        <v>437.5</v>
      </c>
      <c r="K243" s="5">
        <f t="shared" ref="K243:K244" si="645">IF(I243&lt;=10000,100,IF(AND(I243&gt;10000,I243&lt;20000),200,300))</f>
        <v>100</v>
      </c>
      <c r="L243" s="4">
        <v>200</v>
      </c>
      <c r="M243" s="10">
        <f t="shared" ref="M243:M244" si="646">SUM(J243:L243)</f>
        <v>737.5</v>
      </c>
      <c r="N243" s="11">
        <f t="shared" ref="N243:N244" si="647">I243-M243</f>
        <v>5387.5</v>
      </c>
    </row>
    <row r="244" spans="1:14" x14ac:dyDescent="0.25">
      <c r="A244" s="3" t="s">
        <v>264</v>
      </c>
      <c r="B244" s="4" t="s">
        <v>23</v>
      </c>
      <c r="C244" s="4" t="s">
        <v>24</v>
      </c>
      <c r="D244" s="3" t="s">
        <v>17</v>
      </c>
      <c r="E244" s="4">
        <v>7500</v>
      </c>
      <c r="F244" s="5">
        <f t="shared" si="640"/>
        <v>3900</v>
      </c>
      <c r="G244" s="6">
        <f t="shared" si="641"/>
        <v>1875</v>
      </c>
      <c r="H244" s="5">
        <f t="shared" si="642"/>
        <v>600</v>
      </c>
      <c r="I244" s="7">
        <f t="shared" si="643"/>
        <v>13875</v>
      </c>
      <c r="J244" s="8">
        <f t="shared" si="644"/>
        <v>937.5</v>
      </c>
      <c r="K244" s="5">
        <f t="shared" si="645"/>
        <v>200</v>
      </c>
      <c r="L244" s="4">
        <v>3500</v>
      </c>
      <c r="M244" s="10">
        <f t="shared" si="646"/>
        <v>4637.5</v>
      </c>
      <c r="N244" s="11">
        <f t="shared" si="647"/>
        <v>9237.5</v>
      </c>
    </row>
    <row r="245" spans="1:14" x14ac:dyDescent="0.25">
      <c r="A245" s="3" t="s">
        <v>265</v>
      </c>
      <c r="B245" s="4" t="s">
        <v>15</v>
      </c>
      <c r="C245" s="4" t="s">
        <v>16</v>
      </c>
      <c r="D245" s="3" t="s">
        <v>17</v>
      </c>
      <c r="E245" s="4">
        <v>18050</v>
      </c>
      <c r="F245" s="5">
        <f>E245*52%</f>
        <v>9386</v>
      </c>
      <c r="G245" s="6">
        <f>IF(D245="A",E245*25%,IF(D245="B",E245*15%,E245*10%))</f>
        <v>4512.5</v>
      </c>
      <c r="H245" s="5">
        <f>E245*8%</f>
        <v>1444</v>
      </c>
      <c r="I245" s="7">
        <f>SUM(E245:H245)</f>
        <v>33392.5</v>
      </c>
      <c r="J245" s="8">
        <f>E245*12.5%</f>
        <v>2256.25</v>
      </c>
      <c r="K245" s="5">
        <f>IF(I245&lt;=10000,100,IF(AND(I245&gt;10000,I245&lt;20000),200,300))</f>
        <v>300</v>
      </c>
      <c r="L245" s="9">
        <v>500</v>
      </c>
      <c r="M245" s="10">
        <f>SUM(J245:L245)</f>
        <v>3056.25</v>
      </c>
      <c r="N245" s="11">
        <f>I245-M245</f>
        <v>30336.25</v>
      </c>
    </row>
    <row r="246" spans="1:14" x14ac:dyDescent="0.25">
      <c r="A246" s="3" t="s">
        <v>266</v>
      </c>
      <c r="B246" s="4" t="s">
        <v>19</v>
      </c>
      <c r="C246" s="4" t="s">
        <v>20</v>
      </c>
      <c r="D246" s="3" t="s">
        <v>21</v>
      </c>
      <c r="E246" s="4">
        <v>3500</v>
      </c>
      <c r="F246" s="5">
        <f t="shared" ref="F246:F247" si="648">E246*52%</f>
        <v>1820</v>
      </c>
      <c r="G246" s="6">
        <f t="shared" ref="G246:G247" si="649">IF(D246="A",E246*25%,IF(D246="B",E246*15%,E246*10%))</f>
        <v>525</v>
      </c>
      <c r="H246" s="5">
        <f t="shared" ref="H246:H247" si="650">E246*8%</f>
        <v>280</v>
      </c>
      <c r="I246" s="7">
        <f t="shared" ref="I246:I247" si="651">SUM(E246:H246)</f>
        <v>6125</v>
      </c>
      <c r="J246" s="8">
        <f t="shared" ref="J246:J247" si="652">E246*12.5%</f>
        <v>437.5</v>
      </c>
      <c r="K246" s="5">
        <f t="shared" ref="K246:K247" si="653">IF(I246&lt;=10000,100,IF(AND(I246&gt;10000,I246&lt;20000),200,300))</f>
        <v>100</v>
      </c>
      <c r="L246" s="4">
        <v>200</v>
      </c>
      <c r="M246" s="10">
        <f t="shared" ref="M246:M247" si="654">SUM(J246:L246)</f>
        <v>737.5</v>
      </c>
      <c r="N246" s="11">
        <f t="shared" ref="N246:N247" si="655">I246-M246</f>
        <v>5387.5</v>
      </c>
    </row>
    <row r="247" spans="1:14" x14ac:dyDescent="0.25">
      <c r="A247" s="3" t="s">
        <v>267</v>
      </c>
      <c r="B247" s="4" t="s">
        <v>23</v>
      </c>
      <c r="C247" s="4" t="s">
        <v>24</v>
      </c>
      <c r="D247" s="3" t="s">
        <v>17</v>
      </c>
      <c r="E247" s="4">
        <v>7500</v>
      </c>
      <c r="F247" s="5">
        <f t="shared" si="648"/>
        <v>3900</v>
      </c>
      <c r="G247" s="6">
        <f t="shared" si="649"/>
        <v>1875</v>
      </c>
      <c r="H247" s="5">
        <f t="shared" si="650"/>
        <v>600</v>
      </c>
      <c r="I247" s="7">
        <f t="shared" si="651"/>
        <v>13875</v>
      </c>
      <c r="J247" s="8">
        <f t="shared" si="652"/>
        <v>937.5</v>
      </c>
      <c r="K247" s="5">
        <f t="shared" si="653"/>
        <v>200</v>
      </c>
      <c r="L247" s="4">
        <v>3500</v>
      </c>
      <c r="M247" s="10">
        <f t="shared" si="654"/>
        <v>4637.5</v>
      </c>
      <c r="N247" s="11">
        <f t="shared" si="655"/>
        <v>9237.5</v>
      </c>
    </row>
    <row r="248" spans="1:14" x14ac:dyDescent="0.25">
      <c r="A248" s="3" t="s">
        <v>268</v>
      </c>
      <c r="B248" s="4" t="s">
        <v>15</v>
      </c>
      <c r="C248" s="4" t="s">
        <v>16</v>
      </c>
      <c r="D248" s="3" t="s">
        <v>17</v>
      </c>
      <c r="E248" s="4">
        <v>18050</v>
      </c>
      <c r="F248" s="5">
        <f>E248*52%</f>
        <v>9386</v>
      </c>
      <c r="G248" s="6">
        <f>IF(D248="A",E248*25%,IF(D248="B",E248*15%,E248*10%))</f>
        <v>4512.5</v>
      </c>
      <c r="H248" s="5">
        <f>E248*8%</f>
        <v>1444</v>
      </c>
      <c r="I248" s="7">
        <f>SUM(E248:H248)</f>
        <v>33392.5</v>
      </c>
      <c r="J248" s="8">
        <f>E248*12.5%</f>
        <v>2256.25</v>
      </c>
      <c r="K248" s="5">
        <f>IF(I248&lt;=10000,100,IF(AND(I248&gt;10000,I248&lt;20000),200,300))</f>
        <v>300</v>
      </c>
      <c r="L248" s="9">
        <v>500</v>
      </c>
      <c r="M248" s="10">
        <f>SUM(J248:L248)</f>
        <v>3056.25</v>
      </c>
      <c r="N248" s="11">
        <f>I248-M248</f>
        <v>30336.25</v>
      </c>
    </row>
    <row r="249" spans="1:14" x14ac:dyDescent="0.25">
      <c r="A249" s="3" t="s">
        <v>269</v>
      </c>
      <c r="B249" s="4" t="s">
        <v>19</v>
      </c>
      <c r="C249" s="4" t="s">
        <v>20</v>
      </c>
      <c r="D249" s="3" t="s">
        <v>21</v>
      </c>
      <c r="E249" s="4">
        <v>3500</v>
      </c>
      <c r="F249" s="5">
        <f t="shared" ref="F249:F250" si="656">E249*52%</f>
        <v>1820</v>
      </c>
      <c r="G249" s="6">
        <f t="shared" ref="G249:G250" si="657">IF(D249="A",E249*25%,IF(D249="B",E249*15%,E249*10%))</f>
        <v>525</v>
      </c>
      <c r="H249" s="5">
        <f t="shared" ref="H249:H250" si="658">E249*8%</f>
        <v>280</v>
      </c>
      <c r="I249" s="7">
        <f t="shared" ref="I249:I250" si="659">SUM(E249:H249)</f>
        <v>6125</v>
      </c>
      <c r="J249" s="8">
        <f t="shared" ref="J249:J250" si="660">E249*12.5%</f>
        <v>437.5</v>
      </c>
      <c r="K249" s="5">
        <f t="shared" ref="K249:K250" si="661">IF(I249&lt;=10000,100,IF(AND(I249&gt;10000,I249&lt;20000),200,300))</f>
        <v>100</v>
      </c>
      <c r="L249" s="4">
        <v>200</v>
      </c>
      <c r="M249" s="10">
        <f t="shared" ref="M249:M250" si="662">SUM(J249:L249)</f>
        <v>737.5</v>
      </c>
      <c r="N249" s="11">
        <f t="shared" ref="N249:N250" si="663">I249-M249</f>
        <v>5387.5</v>
      </c>
    </row>
    <row r="250" spans="1:14" x14ac:dyDescent="0.25">
      <c r="A250" s="3" t="s">
        <v>270</v>
      </c>
      <c r="B250" s="4" t="s">
        <v>23</v>
      </c>
      <c r="C250" s="4" t="s">
        <v>24</v>
      </c>
      <c r="D250" s="3" t="s">
        <v>17</v>
      </c>
      <c r="E250" s="4">
        <v>7500</v>
      </c>
      <c r="F250" s="5">
        <f t="shared" si="656"/>
        <v>3900</v>
      </c>
      <c r="G250" s="6">
        <f t="shared" si="657"/>
        <v>1875</v>
      </c>
      <c r="H250" s="5">
        <f t="shared" si="658"/>
        <v>600</v>
      </c>
      <c r="I250" s="7">
        <f t="shared" si="659"/>
        <v>13875</v>
      </c>
      <c r="J250" s="8">
        <f t="shared" si="660"/>
        <v>937.5</v>
      </c>
      <c r="K250" s="5">
        <f t="shared" si="661"/>
        <v>200</v>
      </c>
      <c r="L250" s="4">
        <v>3500</v>
      </c>
      <c r="M250" s="10">
        <f t="shared" si="662"/>
        <v>4637.5</v>
      </c>
      <c r="N250" s="11">
        <f t="shared" si="663"/>
        <v>9237.5</v>
      </c>
    </row>
    <row r="251" spans="1:14" x14ac:dyDescent="0.25">
      <c r="A251" s="3" t="s">
        <v>271</v>
      </c>
      <c r="B251" s="4" t="s">
        <v>15</v>
      </c>
      <c r="C251" s="4" t="s">
        <v>16</v>
      </c>
      <c r="D251" s="3" t="s">
        <v>17</v>
      </c>
      <c r="E251" s="4">
        <v>18050</v>
      </c>
      <c r="F251" s="5">
        <f>E251*52%</f>
        <v>9386</v>
      </c>
      <c r="G251" s="6">
        <f>IF(D251="A",E251*25%,IF(D251="B",E251*15%,E251*10%))</f>
        <v>4512.5</v>
      </c>
      <c r="H251" s="5">
        <f>E251*8%</f>
        <v>1444</v>
      </c>
      <c r="I251" s="7">
        <f>SUM(E251:H251)</f>
        <v>33392.5</v>
      </c>
      <c r="J251" s="8">
        <f>E251*12.5%</f>
        <v>2256.25</v>
      </c>
      <c r="K251" s="5">
        <f>IF(I251&lt;=10000,100,IF(AND(I251&gt;10000,I251&lt;20000),200,300))</f>
        <v>300</v>
      </c>
      <c r="L251" s="9">
        <v>500</v>
      </c>
      <c r="M251" s="10">
        <f>SUM(J251:L251)</f>
        <v>3056.25</v>
      </c>
      <c r="N251" s="11">
        <f>I251-M251</f>
        <v>30336.25</v>
      </c>
    </row>
    <row r="252" spans="1:14" x14ac:dyDescent="0.25">
      <c r="A252" s="3" t="s">
        <v>272</v>
      </c>
      <c r="B252" s="4" t="s">
        <v>19</v>
      </c>
      <c r="C252" s="4" t="s">
        <v>20</v>
      </c>
      <c r="D252" s="3" t="s">
        <v>21</v>
      </c>
      <c r="E252" s="4">
        <v>3500</v>
      </c>
      <c r="F252" s="5">
        <f t="shared" ref="F252:F253" si="664">E252*52%</f>
        <v>1820</v>
      </c>
      <c r="G252" s="6">
        <f t="shared" ref="G252:G253" si="665">IF(D252="A",E252*25%,IF(D252="B",E252*15%,E252*10%))</f>
        <v>525</v>
      </c>
      <c r="H252" s="5">
        <f t="shared" ref="H252:H253" si="666">E252*8%</f>
        <v>280</v>
      </c>
      <c r="I252" s="7">
        <f t="shared" ref="I252:I253" si="667">SUM(E252:H252)</f>
        <v>6125</v>
      </c>
      <c r="J252" s="8">
        <f t="shared" ref="J252:J253" si="668">E252*12.5%</f>
        <v>437.5</v>
      </c>
      <c r="K252" s="5">
        <f t="shared" ref="K252:K253" si="669">IF(I252&lt;=10000,100,IF(AND(I252&gt;10000,I252&lt;20000),200,300))</f>
        <v>100</v>
      </c>
      <c r="L252" s="4">
        <v>200</v>
      </c>
      <c r="M252" s="10">
        <f t="shared" ref="M252:M253" si="670">SUM(J252:L252)</f>
        <v>737.5</v>
      </c>
      <c r="N252" s="11">
        <f t="shared" ref="N252:N253" si="671">I252-M252</f>
        <v>5387.5</v>
      </c>
    </row>
    <row r="253" spans="1:14" x14ac:dyDescent="0.25">
      <c r="A253" s="3" t="s">
        <v>273</v>
      </c>
      <c r="B253" s="4" t="s">
        <v>23</v>
      </c>
      <c r="C253" s="4" t="s">
        <v>24</v>
      </c>
      <c r="D253" s="3" t="s">
        <v>17</v>
      </c>
      <c r="E253" s="4">
        <v>7500</v>
      </c>
      <c r="F253" s="5">
        <f t="shared" si="664"/>
        <v>3900</v>
      </c>
      <c r="G253" s="6">
        <f t="shared" si="665"/>
        <v>1875</v>
      </c>
      <c r="H253" s="5">
        <f t="shared" si="666"/>
        <v>600</v>
      </c>
      <c r="I253" s="7">
        <f t="shared" si="667"/>
        <v>13875</v>
      </c>
      <c r="J253" s="8">
        <f t="shared" si="668"/>
        <v>937.5</v>
      </c>
      <c r="K253" s="5">
        <f t="shared" si="669"/>
        <v>200</v>
      </c>
      <c r="L253" s="4">
        <v>3500</v>
      </c>
      <c r="M253" s="10">
        <f t="shared" si="670"/>
        <v>4637.5</v>
      </c>
      <c r="N253" s="11">
        <f t="shared" si="671"/>
        <v>9237.5</v>
      </c>
    </row>
    <row r="254" spans="1:14" x14ac:dyDescent="0.25">
      <c r="A254" s="3" t="s">
        <v>274</v>
      </c>
      <c r="B254" s="4" t="s">
        <v>15</v>
      </c>
      <c r="C254" s="4" t="s">
        <v>16</v>
      </c>
      <c r="D254" s="3" t="s">
        <v>17</v>
      </c>
      <c r="E254" s="4">
        <v>18050</v>
      </c>
      <c r="F254" s="5">
        <f>E254*52%</f>
        <v>9386</v>
      </c>
      <c r="G254" s="6">
        <f>IF(D254="A",E254*25%,IF(D254="B",E254*15%,E254*10%))</f>
        <v>4512.5</v>
      </c>
      <c r="H254" s="5">
        <f>E254*8%</f>
        <v>1444</v>
      </c>
      <c r="I254" s="7">
        <f>SUM(E254:H254)</f>
        <v>33392.5</v>
      </c>
      <c r="J254" s="8">
        <f>E254*12.5%</f>
        <v>2256.25</v>
      </c>
      <c r="K254" s="5">
        <f>IF(I254&lt;=10000,100,IF(AND(I254&gt;10000,I254&lt;20000),200,300))</f>
        <v>300</v>
      </c>
      <c r="L254" s="9">
        <v>500</v>
      </c>
      <c r="M254" s="10">
        <f>SUM(J254:L254)</f>
        <v>3056.25</v>
      </c>
      <c r="N254" s="11">
        <f>I254-M254</f>
        <v>30336.25</v>
      </c>
    </row>
    <row r="255" spans="1:14" x14ac:dyDescent="0.25">
      <c r="A255" s="3" t="s">
        <v>275</v>
      </c>
      <c r="B255" s="4" t="s">
        <v>19</v>
      </c>
      <c r="C255" s="4" t="s">
        <v>20</v>
      </c>
      <c r="D255" s="3" t="s">
        <v>21</v>
      </c>
      <c r="E255" s="4">
        <v>3500</v>
      </c>
      <c r="F255" s="5">
        <f t="shared" ref="F255:F256" si="672">E255*52%</f>
        <v>1820</v>
      </c>
      <c r="G255" s="6">
        <f t="shared" ref="G255:G256" si="673">IF(D255="A",E255*25%,IF(D255="B",E255*15%,E255*10%))</f>
        <v>525</v>
      </c>
      <c r="H255" s="5">
        <f t="shared" ref="H255:H256" si="674">E255*8%</f>
        <v>280</v>
      </c>
      <c r="I255" s="7">
        <f t="shared" ref="I255:I256" si="675">SUM(E255:H255)</f>
        <v>6125</v>
      </c>
      <c r="J255" s="8">
        <f t="shared" ref="J255:J256" si="676">E255*12.5%</f>
        <v>437.5</v>
      </c>
      <c r="K255" s="5">
        <f t="shared" ref="K255:K256" si="677">IF(I255&lt;=10000,100,IF(AND(I255&gt;10000,I255&lt;20000),200,300))</f>
        <v>100</v>
      </c>
      <c r="L255" s="4">
        <v>200</v>
      </c>
      <c r="M255" s="10">
        <f t="shared" ref="M255:M256" si="678">SUM(J255:L255)</f>
        <v>737.5</v>
      </c>
      <c r="N255" s="11">
        <f t="shared" ref="N255:N256" si="679">I255-M255</f>
        <v>5387.5</v>
      </c>
    </row>
    <row r="256" spans="1:14" x14ac:dyDescent="0.25">
      <c r="A256" s="3" t="s">
        <v>276</v>
      </c>
      <c r="B256" s="4" t="s">
        <v>23</v>
      </c>
      <c r="C256" s="4" t="s">
        <v>24</v>
      </c>
      <c r="D256" s="3" t="s">
        <v>17</v>
      </c>
      <c r="E256" s="4">
        <v>7500</v>
      </c>
      <c r="F256" s="5">
        <f t="shared" si="672"/>
        <v>3900</v>
      </c>
      <c r="G256" s="6">
        <f t="shared" si="673"/>
        <v>1875</v>
      </c>
      <c r="H256" s="5">
        <f t="shared" si="674"/>
        <v>600</v>
      </c>
      <c r="I256" s="7">
        <f t="shared" si="675"/>
        <v>13875</v>
      </c>
      <c r="J256" s="8">
        <f t="shared" si="676"/>
        <v>937.5</v>
      </c>
      <c r="K256" s="5">
        <f t="shared" si="677"/>
        <v>200</v>
      </c>
      <c r="L256" s="4">
        <v>3500</v>
      </c>
      <c r="M256" s="10">
        <f t="shared" si="678"/>
        <v>4637.5</v>
      </c>
      <c r="N256" s="11">
        <f t="shared" si="679"/>
        <v>9237.5</v>
      </c>
    </row>
    <row r="257" spans="1:14" x14ac:dyDescent="0.25">
      <c r="A257" s="3" t="s">
        <v>277</v>
      </c>
      <c r="B257" s="4" t="s">
        <v>15</v>
      </c>
      <c r="C257" s="4" t="s">
        <v>16</v>
      </c>
      <c r="D257" s="3" t="s">
        <v>17</v>
      </c>
      <c r="E257" s="4">
        <v>18050</v>
      </c>
      <c r="F257" s="5">
        <f>E257*52%</f>
        <v>9386</v>
      </c>
      <c r="G257" s="6">
        <f>IF(D257="A",E257*25%,IF(D257="B",E257*15%,E257*10%))</f>
        <v>4512.5</v>
      </c>
      <c r="H257" s="5">
        <f>E257*8%</f>
        <v>1444</v>
      </c>
      <c r="I257" s="7">
        <f>SUM(E257:H257)</f>
        <v>33392.5</v>
      </c>
      <c r="J257" s="8">
        <f>E257*12.5%</f>
        <v>2256.25</v>
      </c>
      <c r="K257" s="5">
        <f>IF(I257&lt;=10000,100,IF(AND(I257&gt;10000,I257&lt;20000),200,300))</f>
        <v>300</v>
      </c>
      <c r="L257" s="9">
        <v>500</v>
      </c>
      <c r="M257" s="10">
        <f>SUM(J257:L257)</f>
        <v>3056.25</v>
      </c>
      <c r="N257" s="11">
        <f>I257-M257</f>
        <v>30336.25</v>
      </c>
    </row>
    <row r="258" spans="1:14" x14ac:dyDescent="0.25">
      <c r="A258" s="3" t="s">
        <v>278</v>
      </c>
      <c r="B258" s="4" t="s">
        <v>19</v>
      </c>
      <c r="C258" s="4" t="s">
        <v>20</v>
      </c>
      <c r="D258" s="3" t="s">
        <v>21</v>
      </c>
      <c r="E258" s="4">
        <v>3500</v>
      </c>
      <c r="F258" s="5">
        <f t="shared" ref="F258:F259" si="680">E258*52%</f>
        <v>1820</v>
      </c>
      <c r="G258" s="6">
        <f t="shared" ref="G258:G259" si="681">IF(D258="A",E258*25%,IF(D258="B",E258*15%,E258*10%))</f>
        <v>525</v>
      </c>
      <c r="H258" s="5">
        <f t="shared" ref="H258:H259" si="682">E258*8%</f>
        <v>280</v>
      </c>
      <c r="I258" s="7">
        <f t="shared" ref="I258:I259" si="683">SUM(E258:H258)</f>
        <v>6125</v>
      </c>
      <c r="J258" s="8">
        <f t="shared" ref="J258:J259" si="684">E258*12.5%</f>
        <v>437.5</v>
      </c>
      <c r="K258" s="5">
        <f t="shared" ref="K258:K259" si="685">IF(I258&lt;=10000,100,IF(AND(I258&gt;10000,I258&lt;20000),200,300))</f>
        <v>100</v>
      </c>
      <c r="L258" s="4">
        <v>200</v>
      </c>
      <c r="M258" s="10">
        <f t="shared" ref="M258:M259" si="686">SUM(J258:L258)</f>
        <v>737.5</v>
      </c>
      <c r="N258" s="11">
        <f t="shared" ref="N258:N259" si="687">I258-M258</f>
        <v>5387.5</v>
      </c>
    </row>
    <row r="259" spans="1:14" x14ac:dyDescent="0.25">
      <c r="A259" s="3" t="s">
        <v>279</v>
      </c>
      <c r="B259" s="4" t="s">
        <v>23</v>
      </c>
      <c r="C259" s="4" t="s">
        <v>24</v>
      </c>
      <c r="D259" s="3" t="s">
        <v>17</v>
      </c>
      <c r="E259" s="4">
        <v>7500</v>
      </c>
      <c r="F259" s="5">
        <f t="shared" si="680"/>
        <v>3900</v>
      </c>
      <c r="G259" s="6">
        <f t="shared" si="681"/>
        <v>1875</v>
      </c>
      <c r="H259" s="5">
        <f t="shared" si="682"/>
        <v>600</v>
      </c>
      <c r="I259" s="7">
        <f t="shared" si="683"/>
        <v>13875</v>
      </c>
      <c r="J259" s="8">
        <f t="shared" si="684"/>
        <v>937.5</v>
      </c>
      <c r="K259" s="5">
        <f t="shared" si="685"/>
        <v>200</v>
      </c>
      <c r="L259" s="4">
        <v>3500</v>
      </c>
      <c r="M259" s="10">
        <f t="shared" si="686"/>
        <v>4637.5</v>
      </c>
      <c r="N259" s="11">
        <f t="shared" si="687"/>
        <v>9237.5</v>
      </c>
    </row>
    <row r="260" spans="1:14" x14ac:dyDescent="0.25">
      <c r="A260" s="3" t="s">
        <v>280</v>
      </c>
      <c r="B260" s="4" t="s">
        <v>15</v>
      </c>
      <c r="C260" s="4" t="s">
        <v>16</v>
      </c>
      <c r="D260" s="3" t="s">
        <v>17</v>
      </c>
      <c r="E260" s="4">
        <v>18050</v>
      </c>
      <c r="F260" s="5">
        <f>E260*52%</f>
        <v>9386</v>
      </c>
      <c r="G260" s="6">
        <f>IF(D260="A",E260*25%,IF(D260="B",E260*15%,E260*10%))</f>
        <v>4512.5</v>
      </c>
      <c r="H260" s="5">
        <f>E260*8%</f>
        <v>1444</v>
      </c>
      <c r="I260" s="7">
        <f>SUM(E260:H260)</f>
        <v>33392.5</v>
      </c>
      <c r="J260" s="8">
        <f>E260*12.5%</f>
        <v>2256.25</v>
      </c>
      <c r="K260" s="5">
        <f>IF(I260&lt;=10000,100,IF(AND(I260&gt;10000,I260&lt;20000),200,300))</f>
        <v>300</v>
      </c>
      <c r="L260" s="9">
        <v>500</v>
      </c>
      <c r="M260" s="10">
        <f>SUM(J260:L260)</f>
        <v>3056.25</v>
      </c>
      <c r="N260" s="11">
        <f>I260-M260</f>
        <v>30336.25</v>
      </c>
    </row>
    <row r="261" spans="1:14" x14ac:dyDescent="0.25">
      <c r="A261" s="3" t="s">
        <v>281</v>
      </c>
      <c r="B261" s="4" t="s">
        <v>19</v>
      </c>
      <c r="C261" s="4" t="s">
        <v>20</v>
      </c>
      <c r="D261" s="3" t="s">
        <v>21</v>
      </c>
      <c r="E261" s="4">
        <v>3500</v>
      </c>
      <c r="F261" s="5">
        <f t="shared" ref="F261:F262" si="688">E261*52%</f>
        <v>1820</v>
      </c>
      <c r="G261" s="6">
        <f t="shared" ref="G261:G262" si="689">IF(D261="A",E261*25%,IF(D261="B",E261*15%,E261*10%))</f>
        <v>525</v>
      </c>
      <c r="H261" s="5">
        <f t="shared" ref="H261:H262" si="690">E261*8%</f>
        <v>280</v>
      </c>
      <c r="I261" s="7">
        <f t="shared" ref="I261:I262" si="691">SUM(E261:H261)</f>
        <v>6125</v>
      </c>
      <c r="J261" s="8">
        <f t="shared" ref="J261:J262" si="692">E261*12.5%</f>
        <v>437.5</v>
      </c>
      <c r="K261" s="5">
        <f t="shared" ref="K261:K262" si="693">IF(I261&lt;=10000,100,IF(AND(I261&gt;10000,I261&lt;20000),200,300))</f>
        <v>100</v>
      </c>
      <c r="L261" s="4">
        <v>200</v>
      </c>
      <c r="M261" s="10">
        <f t="shared" ref="M261:M262" si="694">SUM(J261:L261)</f>
        <v>737.5</v>
      </c>
      <c r="N261" s="11">
        <f t="shared" ref="N261:N262" si="695">I261-M261</f>
        <v>5387.5</v>
      </c>
    </row>
    <row r="262" spans="1:14" x14ac:dyDescent="0.25">
      <c r="A262" s="3" t="s">
        <v>282</v>
      </c>
      <c r="B262" s="4" t="s">
        <v>23</v>
      </c>
      <c r="C262" s="4" t="s">
        <v>24</v>
      </c>
      <c r="D262" s="3" t="s">
        <v>17</v>
      </c>
      <c r="E262" s="4">
        <v>7500</v>
      </c>
      <c r="F262" s="5">
        <f t="shared" si="688"/>
        <v>3900</v>
      </c>
      <c r="G262" s="6">
        <f t="shared" si="689"/>
        <v>1875</v>
      </c>
      <c r="H262" s="5">
        <f t="shared" si="690"/>
        <v>600</v>
      </c>
      <c r="I262" s="7">
        <f t="shared" si="691"/>
        <v>13875</v>
      </c>
      <c r="J262" s="8">
        <f t="shared" si="692"/>
        <v>937.5</v>
      </c>
      <c r="K262" s="5">
        <f t="shared" si="693"/>
        <v>200</v>
      </c>
      <c r="L262" s="4">
        <v>3500</v>
      </c>
      <c r="M262" s="10">
        <f t="shared" si="694"/>
        <v>4637.5</v>
      </c>
      <c r="N262" s="11">
        <f t="shared" si="695"/>
        <v>9237.5</v>
      </c>
    </row>
    <row r="263" spans="1:14" x14ac:dyDescent="0.25">
      <c r="A263" s="3" t="s">
        <v>283</v>
      </c>
      <c r="B263" s="4" t="s">
        <v>15</v>
      </c>
      <c r="C263" s="4" t="s">
        <v>16</v>
      </c>
      <c r="D263" s="3" t="s">
        <v>17</v>
      </c>
      <c r="E263" s="4">
        <v>18050</v>
      </c>
      <c r="F263" s="5">
        <f>E263*52%</f>
        <v>9386</v>
      </c>
      <c r="G263" s="6">
        <f>IF(D263="A",E263*25%,IF(D263="B",E263*15%,E263*10%))</f>
        <v>4512.5</v>
      </c>
      <c r="H263" s="5">
        <f>E263*8%</f>
        <v>1444</v>
      </c>
      <c r="I263" s="7">
        <f>SUM(E263:H263)</f>
        <v>33392.5</v>
      </c>
      <c r="J263" s="8">
        <f>E263*12.5%</f>
        <v>2256.25</v>
      </c>
      <c r="K263" s="5">
        <f>IF(I263&lt;=10000,100,IF(AND(I263&gt;10000,I263&lt;20000),200,300))</f>
        <v>300</v>
      </c>
      <c r="L263" s="9">
        <v>500</v>
      </c>
      <c r="M263" s="10">
        <f>SUM(J263:L263)</f>
        <v>3056.25</v>
      </c>
      <c r="N263" s="11">
        <f>I263-M263</f>
        <v>30336.25</v>
      </c>
    </row>
    <row r="264" spans="1:14" x14ac:dyDescent="0.25">
      <c r="A264" s="3" t="s">
        <v>284</v>
      </c>
      <c r="B264" s="4" t="s">
        <v>19</v>
      </c>
      <c r="C264" s="4" t="s">
        <v>20</v>
      </c>
      <c r="D264" s="3" t="s">
        <v>21</v>
      </c>
      <c r="E264" s="4">
        <v>3500</v>
      </c>
      <c r="F264" s="5">
        <f t="shared" ref="F264:F265" si="696">E264*52%</f>
        <v>1820</v>
      </c>
      <c r="G264" s="6">
        <f t="shared" ref="G264:G265" si="697">IF(D264="A",E264*25%,IF(D264="B",E264*15%,E264*10%))</f>
        <v>525</v>
      </c>
      <c r="H264" s="5">
        <f t="shared" ref="H264:H265" si="698">E264*8%</f>
        <v>280</v>
      </c>
      <c r="I264" s="7">
        <f t="shared" ref="I264:I265" si="699">SUM(E264:H264)</f>
        <v>6125</v>
      </c>
      <c r="J264" s="8">
        <f t="shared" ref="J264:J265" si="700">E264*12.5%</f>
        <v>437.5</v>
      </c>
      <c r="K264" s="5">
        <f t="shared" ref="K264:K265" si="701">IF(I264&lt;=10000,100,IF(AND(I264&gt;10000,I264&lt;20000),200,300))</f>
        <v>100</v>
      </c>
      <c r="L264" s="4">
        <v>200</v>
      </c>
      <c r="M264" s="10">
        <f t="shared" ref="M264:M265" si="702">SUM(J264:L264)</f>
        <v>737.5</v>
      </c>
      <c r="N264" s="11">
        <f t="shared" ref="N264:N265" si="703">I264-M264</f>
        <v>5387.5</v>
      </c>
    </row>
    <row r="265" spans="1:14" x14ac:dyDescent="0.25">
      <c r="A265" s="3" t="s">
        <v>285</v>
      </c>
      <c r="B265" s="4" t="s">
        <v>23</v>
      </c>
      <c r="C265" s="4" t="s">
        <v>24</v>
      </c>
      <c r="D265" s="3" t="s">
        <v>17</v>
      </c>
      <c r="E265" s="4">
        <v>7500</v>
      </c>
      <c r="F265" s="5">
        <f t="shared" si="696"/>
        <v>3900</v>
      </c>
      <c r="G265" s="6">
        <f t="shared" si="697"/>
        <v>1875</v>
      </c>
      <c r="H265" s="5">
        <f t="shared" si="698"/>
        <v>600</v>
      </c>
      <c r="I265" s="7">
        <f t="shared" si="699"/>
        <v>13875</v>
      </c>
      <c r="J265" s="8">
        <f t="shared" si="700"/>
        <v>937.5</v>
      </c>
      <c r="K265" s="5">
        <f t="shared" si="701"/>
        <v>200</v>
      </c>
      <c r="L265" s="4">
        <v>3500</v>
      </c>
      <c r="M265" s="10">
        <f t="shared" si="702"/>
        <v>4637.5</v>
      </c>
      <c r="N265" s="11">
        <f t="shared" si="703"/>
        <v>9237.5</v>
      </c>
    </row>
    <row r="266" spans="1:14" x14ac:dyDescent="0.25">
      <c r="A266" s="3" t="s">
        <v>286</v>
      </c>
      <c r="B266" s="4" t="s">
        <v>15</v>
      </c>
      <c r="C266" s="4" t="s">
        <v>16</v>
      </c>
      <c r="D266" s="3" t="s">
        <v>17</v>
      </c>
      <c r="E266" s="4">
        <v>18050</v>
      </c>
      <c r="F266" s="5">
        <f>E266*52%</f>
        <v>9386</v>
      </c>
      <c r="G266" s="6">
        <f>IF(D266="A",E266*25%,IF(D266="B",E266*15%,E266*10%))</f>
        <v>4512.5</v>
      </c>
      <c r="H266" s="5">
        <f>E266*8%</f>
        <v>1444</v>
      </c>
      <c r="I266" s="7">
        <f>SUM(E266:H266)</f>
        <v>33392.5</v>
      </c>
      <c r="J266" s="8">
        <f>E266*12.5%</f>
        <v>2256.25</v>
      </c>
      <c r="K266" s="5">
        <f>IF(I266&lt;=10000,100,IF(AND(I266&gt;10000,I266&lt;20000),200,300))</f>
        <v>300</v>
      </c>
      <c r="L266" s="9">
        <v>500</v>
      </c>
      <c r="M266" s="10">
        <f>SUM(J266:L266)</f>
        <v>3056.25</v>
      </c>
      <c r="N266" s="11">
        <f>I266-M266</f>
        <v>30336.25</v>
      </c>
    </row>
    <row r="267" spans="1:14" x14ac:dyDescent="0.25">
      <c r="A267" s="3" t="s">
        <v>287</v>
      </c>
      <c r="B267" s="4" t="s">
        <v>19</v>
      </c>
      <c r="C267" s="4" t="s">
        <v>20</v>
      </c>
      <c r="D267" s="3" t="s">
        <v>21</v>
      </c>
      <c r="E267" s="4">
        <v>3500</v>
      </c>
      <c r="F267" s="5">
        <f t="shared" ref="F267:F268" si="704">E267*52%</f>
        <v>1820</v>
      </c>
      <c r="G267" s="6">
        <f t="shared" ref="G267:G268" si="705">IF(D267="A",E267*25%,IF(D267="B",E267*15%,E267*10%))</f>
        <v>525</v>
      </c>
      <c r="H267" s="5">
        <f t="shared" ref="H267:H268" si="706">E267*8%</f>
        <v>280</v>
      </c>
      <c r="I267" s="7">
        <f t="shared" ref="I267:I268" si="707">SUM(E267:H267)</f>
        <v>6125</v>
      </c>
      <c r="J267" s="8">
        <f t="shared" ref="J267:J268" si="708">E267*12.5%</f>
        <v>437.5</v>
      </c>
      <c r="K267" s="5">
        <f t="shared" ref="K267:K268" si="709">IF(I267&lt;=10000,100,IF(AND(I267&gt;10000,I267&lt;20000),200,300))</f>
        <v>100</v>
      </c>
      <c r="L267" s="4">
        <v>200</v>
      </c>
      <c r="M267" s="10">
        <f t="shared" ref="M267:M268" si="710">SUM(J267:L267)</f>
        <v>737.5</v>
      </c>
      <c r="N267" s="11">
        <f t="shared" ref="N267:N268" si="711">I267-M267</f>
        <v>5387.5</v>
      </c>
    </row>
    <row r="268" spans="1:14" x14ac:dyDescent="0.25">
      <c r="A268" s="3" t="s">
        <v>288</v>
      </c>
      <c r="B268" s="4" t="s">
        <v>23</v>
      </c>
      <c r="C268" s="4" t="s">
        <v>24</v>
      </c>
      <c r="D268" s="3" t="s">
        <v>17</v>
      </c>
      <c r="E268" s="4">
        <v>7500</v>
      </c>
      <c r="F268" s="5">
        <f t="shared" si="704"/>
        <v>3900</v>
      </c>
      <c r="G268" s="6">
        <f t="shared" si="705"/>
        <v>1875</v>
      </c>
      <c r="H268" s="5">
        <f t="shared" si="706"/>
        <v>600</v>
      </c>
      <c r="I268" s="7">
        <f t="shared" si="707"/>
        <v>13875</v>
      </c>
      <c r="J268" s="8">
        <f t="shared" si="708"/>
        <v>937.5</v>
      </c>
      <c r="K268" s="5">
        <f t="shared" si="709"/>
        <v>200</v>
      </c>
      <c r="L268" s="4">
        <v>3500</v>
      </c>
      <c r="M268" s="10">
        <f t="shared" si="710"/>
        <v>4637.5</v>
      </c>
      <c r="N268" s="11">
        <f t="shared" si="711"/>
        <v>9237.5</v>
      </c>
    </row>
    <row r="269" spans="1:14" x14ac:dyDescent="0.25">
      <c r="A269" s="3" t="s">
        <v>289</v>
      </c>
      <c r="B269" s="4" t="s">
        <v>15</v>
      </c>
      <c r="C269" s="4" t="s">
        <v>16</v>
      </c>
      <c r="D269" s="3" t="s">
        <v>17</v>
      </c>
      <c r="E269" s="4">
        <v>18050</v>
      </c>
      <c r="F269" s="5">
        <f>E269*52%</f>
        <v>9386</v>
      </c>
      <c r="G269" s="6">
        <f>IF(D269="A",E269*25%,IF(D269="B",E269*15%,E269*10%))</f>
        <v>4512.5</v>
      </c>
      <c r="H269" s="5">
        <f>E269*8%</f>
        <v>1444</v>
      </c>
      <c r="I269" s="7">
        <f>SUM(E269:H269)</f>
        <v>33392.5</v>
      </c>
      <c r="J269" s="8">
        <f>E269*12.5%</f>
        <v>2256.25</v>
      </c>
      <c r="K269" s="5">
        <f>IF(I269&lt;=10000,100,IF(AND(I269&gt;10000,I269&lt;20000),200,300))</f>
        <v>300</v>
      </c>
      <c r="L269" s="9">
        <v>500</v>
      </c>
      <c r="M269" s="10">
        <f>SUM(J269:L269)</f>
        <v>3056.25</v>
      </c>
      <c r="N269" s="11">
        <f>I269-M269</f>
        <v>30336.25</v>
      </c>
    </row>
    <row r="270" spans="1:14" x14ac:dyDescent="0.25">
      <c r="A270" s="3" t="s">
        <v>290</v>
      </c>
      <c r="B270" s="4" t="s">
        <v>19</v>
      </c>
      <c r="C270" s="4" t="s">
        <v>20</v>
      </c>
      <c r="D270" s="3" t="s">
        <v>21</v>
      </c>
      <c r="E270" s="4">
        <v>3500</v>
      </c>
      <c r="F270" s="5">
        <f t="shared" ref="F270:F271" si="712">E270*52%</f>
        <v>1820</v>
      </c>
      <c r="G270" s="6">
        <f t="shared" ref="G270:G271" si="713">IF(D270="A",E270*25%,IF(D270="B",E270*15%,E270*10%))</f>
        <v>525</v>
      </c>
      <c r="H270" s="5">
        <f t="shared" ref="H270:H271" si="714">E270*8%</f>
        <v>280</v>
      </c>
      <c r="I270" s="7">
        <f t="shared" ref="I270:I271" si="715">SUM(E270:H270)</f>
        <v>6125</v>
      </c>
      <c r="J270" s="8">
        <f t="shared" ref="J270:J271" si="716">E270*12.5%</f>
        <v>437.5</v>
      </c>
      <c r="K270" s="5">
        <f t="shared" ref="K270:K271" si="717">IF(I270&lt;=10000,100,IF(AND(I270&gt;10000,I270&lt;20000),200,300))</f>
        <v>100</v>
      </c>
      <c r="L270" s="4">
        <v>200</v>
      </c>
      <c r="M270" s="10">
        <f t="shared" ref="M270:M271" si="718">SUM(J270:L270)</f>
        <v>737.5</v>
      </c>
      <c r="N270" s="11">
        <f t="shared" ref="N270:N271" si="719">I270-M270</f>
        <v>5387.5</v>
      </c>
    </row>
    <row r="271" spans="1:14" x14ac:dyDescent="0.25">
      <c r="A271" s="3" t="s">
        <v>291</v>
      </c>
      <c r="B271" s="4" t="s">
        <v>23</v>
      </c>
      <c r="C271" s="4" t="s">
        <v>24</v>
      </c>
      <c r="D271" s="3" t="s">
        <v>17</v>
      </c>
      <c r="E271" s="4">
        <v>7500</v>
      </c>
      <c r="F271" s="5">
        <f t="shared" si="712"/>
        <v>3900</v>
      </c>
      <c r="G271" s="6">
        <f t="shared" si="713"/>
        <v>1875</v>
      </c>
      <c r="H271" s="5">
        <f t="shared" si="714"/>
        <v>600</v>
      </c>
      <c r="I271" s="7">
        <f t="shared" si="715"/>
        <v>13875</v>
      </c>
      <c r="J271" s="8">
        <f t="shared" si="716"/>
        <v>937.5</v>
      </c>
      <c r="K271" s="5">
        <f t="shared" si="717"/>
        <v>200</v>
      </c>
      <c r="L271" s="4">
        <v>3500</v>
      </c>
      <c r="M271" s="10">
        <f t="shared" si="718"/>
        <v>4637.5</v>
      </c>
      <c r="N271" s="11">
        <f t="shared" si="719"/>
        <v>9237.5</v>
      </c>
    </row>
    <row r="272" spans="1:14" x14ac:dyDescent="0.25">
      <c r="A272" s="3" t="s">
        <v>292</v>
      </c>
      <c r="B272" s="4" t="s">
        <v>15</v>
      </c>
      <c r="C272" s="4" t="s">
        <v>16</v>
      </c>
      <c r="D272" s="3" t="s">
        <v>17</v>
      </c>
      <c r="E272" s="4">
        <v>18050</v>
      </c>
      <c r="F272" s="5">
        <f>E272*52%</f>
        <v>9386</v>
      </c>
      <c r="G272" s="6">
        <f>IF(D272="A",E272*25%,IF(D272="B",E272*15%,E272*10%))</f>
        <v>4512.5</v>
      </c>
      <c r="H272" s="5">
        <f>E272*8%</f>
        <v>1444</v>
      </c>
      <c r="I272" s="7">
        <f>SUM(E272:H272)</f>
        <v>33392.5</v>
      </c>
      <c r="J272" s="8">
        <f>E272*12.5%</f>
        <v>2256.25</v>
      </c>
      <c r="K272" s="5">
        <f>IF(I272&lt;=10000,100,IF(AND(I272&gt;10000,I272&lt;20000),200,300))</f>
        <v>300</v>
      </c>
      <c r="L272" s="9">
        <v>500</v>
      </c>
      <c r="M272" s="10">
        <f>SUM(J272:L272)</f>
        <v>3056.25</v>
      </c>
      <c r="N272" s="11">
        <f>I272-M272</f>
        <v>30336.25</v>
      </c>
    </row>
    <row r="273" spans="1:14" x14ac:dyDescent="0.25">
      <c r="A273" s="3" t="s">
        <v>293</v>
      </c>
      <c r="B273" s="4" t="s">
        <v>19</v>
      </c>
      <c r="C273" s="4" t="s">
        <v>20</v>
      </c>
      <c r="D273" s="3" t="s">
        <v>21</v>
      </c>
      <c r="E273" s="4">
        <v>3500</v>
      </c>
      <c r="F273" s="5">
        <f t="shared" ref="F273:F274" si="720">E273*52%</f>
        <v>1820</v>
      </c>
      <c r="G273" s="6">
        <f t="shared" ref="G273:G274" si="721">IF(D273="A",E273*25%,IF(D273="B",E273*15%,E273*10%))</f>
        <v>525</v>
      </c>
      <c r="H273" s="5">
        <f t="shared" ref="H273:H274" si="722">E273*8%</f>
        <v>280</v>
      </c>
      <c r="I273" s="7">
        <f t="shared" ref="I273:I274" si="723">SUM(E273:H273)</f>
        <v>6125</v>
      </c>
      <c r="J273" s="8">
        <f t="shared" ref="J273:J274" si="724">E273*12.5%</f>
        <v>437.5</v>
      </c>
      <c r="K273" s="5">
        <f t="shared" ref="K273:K274" si="725">IF(I273&lt;=10000,100,IF(AND(I273&gt;10000,I273&lt;20000),200,300))</f>
        <v>100</v>
      </c>
      <c r="L273" s="4">
        <v>200</v>
      </c>
      <c r="M273" s="10">
        <f t="shared" ref="M273:M274" si="726">SUM(J273:L273)</f>
        <v>737.5</v>
      </c>
      <c r="N273" s="11">
        <f t="shared" ref="N273:N274" si="727">I273-M273</f>
        <v>5387.5</v>
      </c>
    </row>
    <row r="274" spans="1:14" x14ac:dyDescent="0.25">
      <c r="A274" s="3" t="s">
        <v>294</v>
      </c>
      <c r="B274" s="4" t="s">
        <v>23</v>
      </c>
      <c r="C274" s="4" t="s">
        <v>24</v>
      </c>
      <c r="D274" s="3" t="s">
        <v>17</v>
      </c>
      <c r="E274" s="4">
        <v>7500</v>
      </c>
      <c r="F274" s="5">
        <f t="shared" si="720"/>
        <v>3900</v>
      </c>
      <c r="G274" s="6">
        <f t="shared" si="721"/>
        <v>1875</v>
      </c>
      <c r="H274" s="5">
        <f t="shared" si="722"/>
        <v>600</v>
      </c>
      <c r="I274" s="7">
        <f t="shared" si="723"/>
        <v>13875</v>
      </c>
      <c r="J274" s="8">
        <f t="shared" si="724"/>
        <v>937.5</v>
      </c>
      <c r="K274" s="5">
        <f t="shared" si="725"/>
        <v>200</v>
      </c>
      <c r="L274" s="4">
        <v>3500</v>
      </c>
      <c r="M274" s="10">
        <f t="shared" si="726"/>
        <v>4637.5</v>
      </c>
      <c r="N274" s="11">
        <f t="shared" si="727"/>
        <v>9237.5</v>
      </c>
    </row>
    <row r="275" spans="1:14" x14ac:dyDescent="0.25">
      <c r="A275" s="3" t="s">
        <v>295</v>
      </c>
      <c r="B275" s="4" t="s">
        <v>15</v>
      </c>
      <c r="C275" s="4" t="s">
        <v>16</v>
      </c>
      <c r="D275" s="3" t="s">
        <v>17</v>
      </c>
      <c r="E275" s="4">
        <v>18050</v>
      </c>
      <c r="F275" s="5">
        <f>E275*52%</f>
        <v>9386</v>
      </c>
      <c r="G275" s="6">
        <f>IF(D275="A",E275*25%,IF(D275="B",E275*15%,E275*10%))</f>
        <v>4512.5</v>
      </c>
      <c r="H275" s="5">
        <f>E275*8%</f>
        <v>1444</v>
      </c>
      <c r="I275" s="7">
        <f>SUM(E275:H275)</f>
        <v>33392.5</v>
      </c>
      <c r="J275" s="8">
        <f>E275*12.5%</f>
        <v>2256.25</v>
      </c>
      <c r="K275" s="5">
        <f>IF(I275&lt;=10000,100,IF(AND(I275&gt;10000,I275&lt;20000),200,300))</f>
        <v>300</v>
      </c>
      <c r="L275" s="9">
        <v>500</v>
      </c>
      <c r="M275" s="10">
        <f>SUM(J275:L275)</f>
        <v>3056.25</v>
      </c>
      <c r="N275" s="11">
        <f>I275-M275</f>
        <v>30336.25</v>
      </c>
    </row>
    <row r="276" spans="1:14" x14ac:dyDescent="0.25">
      <c r="A276" s="3" t="s">
        <v>296</v>
      </c>
      <c r="B276" s="4" t="s">
        <v>19</v>
      </c>
      <c r="C276" s="4" t="s">
        <v>20</v>
      </c>
      <c r="D276" s="3" t="s">
        <v>21</v>
      </c>
      <c r="E276" s="4">
        <v>3500</v>
      </c>
      <c r="F276" s="5">
        <f t="shared" ref="F276:F277" si="728">E276*52%</f>
        <v>1820</v>
      </c>
      <c r="G276" s="6">
        <f t="shared" ref="G276:G277" si="729">IF(D276="A",E276*25%,IF(D276="B",E276*15%,E276*10%))</f>
        <v>525</v>
      </c>
      <c r="H276" s="5">
        <f t="shared" ref="H276:H277" si="730">E276*8%</f>
        <v>280</v>
      </c>
      <c r="I276" s="7">
        <f t="shared" ref="I276:I277" si="731">SUM(E276:H276)</f>
        <v>6125</v>
      </c>
      <c r="J276" s="8">
        <f t="shared" ref="J276:J277" si="732">E276*12.5%</f>
        <v>437.5</v>
      </c>
      <c r="K276" s="5">
        <f t="shared" ref="K276:K277" si="733">IF(I276&lt;=10000,100,IF(AND(I276&gt;10000,I276&lt;20000),200,300))</f>
        <v>100</v>
      </c>
      <c r="L276" s="4">
        <v>200</v>
      </c>
      <c r="M276" s="10">
        <f t="shared" ref="M276:M277" si="734">SUM(J276:L276)</f>
        <v>737.5</v>
      </c>
      <c r="N276" s="11">
        <f t="shared" ref="N276:N277" si="735">I276-M276</f>
        <v>5387.5</v>
      </c>
    </row>
    <row r="277" spans="1:14" x14ac:dyDescent="0.25">
      <c r="A277" s="3" t="s">
        <v>297</v>
      </c>
      <c r="B277" s="4" t="s">
        <v>23</v>
      </c>
      <c r="C277" s="4" t="s">
        <v>24</v>
      </c>
      <c r="D277" s="3" t="s">
        <v>17</v>
      </c>
      <c r="E277" s="4">
        <v>7500</v>
      </c>
      <c r="F277" s="5">
        <f t="shared" si="728"/>
        <v>3900</v>
      </c>
      <c r="G277" s="6">
        <f t="shared" si="729"/>
        <v>1875</v>
      </c>
      <c r="H277" s="5">
        <f t="shared" si="730"/>
        <v>600</v>
      </c>
      <c r="I277" s="7">
        <f t="shared" si="731"/>
        <v>13875</v>
      </c>
      <c r="J277" s="8">
        <f t="shared" si="732"/>
        <v>937.5</v>
      </c>
      <c r="K277" s="5">
        <f t="shared" si="733"/>
        <v>200</v>
      </c>
      <c r="L277" s="4">
        <v>3500</v>
      </c>
      <c r="M277" s="10">
        <f t="shared" si="734"/>
        <v>4637.5</v>
      </c>
      <c r="N277" s="11">
        <f t="shared" si="735"/>
        <v>9237.5</v>
      </c>
    </row>
    <row r="278" spans="1:14" x14ac:dyDescent="0.25">
      <c r="A278" s="3" t="s">
        <v>298</v>
      </c>
      <c r="B278" s="4" t="s">
        <v>15</v>
      </c>
      <c r="C278" s="4" t="s">
        <v>16</v>
      </c>
      <c r="D278" s="3" t="s">
        <v>17</v>
      </c>
      <c r="E278" s="4">
        <v>18050</v>
      </c>
      <c r="F278" s="5">
        <f>E278*52%</f>
        <v>9386</v>
      </c>
      <c r="G278" s="6">
        <f>IF(D278="A",E278*25%,IF(D278="B",E278*15%,E278*10%))</f>
        <v>4512.5</v>
      </c>
      <c r="H278" s="5">
        <f>E278*8%</f>
        <v>1444</v>
      </c>
      <c r="I278" s="7">
        <f>SUM(E278:H278)</f>
        <v>33392.5</v>
      </c>
      <c r="J278" s="8">
        <f>E278*12.5%</f>
        <v>2256.25</v>
      </c>
      <c r="K278" s="5">
        <f>IF(I278&lt;=10000,100,IF(AND(I278&gt;10000,I278&lt;20000),200,300))</f>
        <v>300</v>
      </c>
      <c r="L278" s="9">
        <v>500</v>
      </c>
      <c r="M278" s="10">
        <f>SUM(J278:L278)</f>
        <v>3056.25</v>
      </c>
      <c r="N278" s="11">
        <f>I278-M278</f>
        <v>30336.25</v>
      </c>
    </row>
    <row r="279" spans="1:14" x14ac:dyDescent="0.25">
      <c r="A279" s="3" t="s">
        <v>299</v>
      </c>
      <c r="B279" s="4" t="s">
        <v>19</v>
      </c>
      <c r="C279" s="4" t="s">
        <v>20</v>
      </c>
      <c r="D279" s="3" t="s">
        <v>21</v>
      </c>
      <c r="E279" s="4">
        <v>3500</v>
      </c>
      <c r="F279" s="5">
        <f t="shared" ref="F279:F280" si="736">E279*52%</f>
        <v>1820</v>
      </c>
      <c r="G279" s="6">
        <f t="shared" ref="G279:G280" si="737">IF(D279="A",E279*25%,IF(D279="B",E279*15%,E279*10%))</f>
        <v>525</v>
      </c>
      <c r="H279" s="5">
        <f t="shared" ref="H279:H280" si="738">E279*8%</f>
        <v>280</v>
      </c>
      <c r="I279" s="7">
        <f t="shared" ref="I279:I280" si="739">SUM(E279:H279)</f>
        <v>6125</v>
      </c>
      <c r="J279" s="8">
        <f t="shared" ref="J279:J280" si="740">E279*12.5%</f>
        <v>437.5</v>
      </c>
      <c r="K279" s="5">
        <f t="shared" ref="K279:K280" si="741">IF(I279&lt;=10000,100,IF(AND(I279&gt;10000,I279&lt;20000),200,300))</f>
        <v>100</v>
      </c>
      <c r="L279" s="4">
        <v>200</v>
      </c>
      <c r="M279" s="10">
        <f t="shared" ref="M279:M280" si="742">SUM(J279:L279)</f>
        <v>737.5</v>
      </c>
      <c r="N279" s="11">
        <f t="shared" ref="N279:N280" si="743">I279-M279</f>
        <v>5387.5</v>
      </c>
    </row>
    <row r="280" spans="1:14" x14ac:dyDescent="0.25">
      <c r="A280" s="3" t="s">
        <v>300</v>
      </c>
      <c r="B280" s="4" t="s">
        <v>23</v>
      </c>
      <c r="C280" s="4" t="s">
        <v>24</v>
      </c>
      <c r="D280" s="3" t="s">
        <v>17</v>
      </c>
      <c r="E280" s="4">
        <v>7500</v>
      </c>
      <c r="F280" s="5">
        <f t="shared" si="736"/>
        <v>3900</v>
      </c>
      <c r="G280" s="6">
        <f t="shared" si="737"/>
        <v>1875</v>
      </c>
      <c r="H280" s="5">
        <f t="shared" si="738"/>
        <v>600</v>
      </c>
      <c r="I280" s="7">
        <f t="shared" si="739"/>
        <v>13875</v>
      </c>
      <c r="J280" s="8">
        <f t="shared" si="740"/>
        <v>937.5</v>
      </c>
      <c r="K280" s="5">
        <f t="shared" si="741"/>
        <v>200</v>
      </c>
      <c r="L280" s="4">
        <v>3500</v>
      </c>
      <c r="M280" s="10">
        <f t="shared" si="742"/>
        <v>4637.5</v>
      </c>
      <c r="N280" s="11">
        <f t="shared" si="743"/>
        <v>9237.5</v>
      </c>
    </row>
    <row r="281" spans="1:14" x14ac:dyDescent="0.25">
      <c r="A281" s="3" t="s">
        <v>301</v>
      </c>
      <c r="B281" s="4" t="s">
        <v>15</v>
      </c>
      <c r="C281" s="4" t="s">
        <v>16</v>
      </c>
      <c r="D281" s="3" t="s">
        <v>17</v>
      </c>
      <c r="E281" s="4">
        <v>18050</v>
      </c>
      <c r="F281" s="5">
        <f>E281*52%</f>
        <v>9386</v>
      </c>
      <c r="G281" s="6">
        <f>IF(D281="A",E281*25%,IF(D281="B",E281*15%,E281*10%))</f>
        <v>4512.5</v>
      </c>
      <c r="H281" s="5">
        <f>E281*8%</f>
        <v>1444</v>
      </c>
      <c r="I281" s="7">
        <f>SUM(E281:H281)</f>
        <v>33392.5</v>
      </c>
      <c r="J281" s="8">
        <f>E281*12.5%</f>
        <v>2256.25</v>
      </c>
      <c r="K281" s="5">
        <f>IF(I281&lt;=10000,100,IF(AND(I281&gt;10000,I281&lt;20000),200,300))</f>
        <v>300</v>
      </c>
      <c r="L281" s="9">
        <v>500</v>
      </c>
      <c r="M281" s="10">
        <f>SUM(J281:L281)</f>
        <v>3056.25</v>
      </c>
      <c r="N281" s="11">
        <f>I281-M281</f>
        <v>30336.25</v>
      </c>
    </row>
    <row r="282" spans="1:14" x14ac:dyDescent="0.25">
      <c r="A282" s="3" t="s">
        <v>302</v>
      </c>
      <c r="B282" s="4" t="s">
        <v>19</v>
      </c>
      <c r="C282" s="4" t="s">
        <v>20</v>
      </c>
      <c r="D282" s="3" t="s">
        <v>21</v>
      </c>
      <c r="E282" s="4">
        <v>3500</v>
      </c>
      <c r="F282" s="5">
        <f t="shared" ref="F282:F283" si="744">E282*52%</f>
        <v>1820</v>
      </c>
      <c r="G282" s="6">
        <f t="shared" ref="G282:G283" si="745">IF(D282="A",E282*25%,IF(D282="B",E282*15%,E282*10%))</f>
        <v>525</v>
      </c>
      <c r="H282" s="5">
        <f t="shared" ref="H282:H283" si="746">E282*8%</f>
        <v>280</v>
      </c>
      <c r="I282" s="7">
        <f t="shared" ref="I282:I283" si="747">SUM(E282:H282)</f>
        <v>6125</v>
      </c>
      <c r="J282" s="8">
        <f t="shared" ref="J282:J283" si="748">E282*12.5%</f>
        <v>437.5</v>
      </c>
      <c r="K282" s="5">
        <f t="shared" ref="K282:K283" si="749">IF(I282&lt;=10000,100,IF(AND(I282&gt;10000,I282&lt;20000),200,300))</f>
        <v>100</v>
      </c>
      <c r="L282" s="4">
        <v>200</v>
      </c>
      <c r="M282" s="10">
        <f t="shared" ref="M282:M283" si="750">SUM(J282:L282)</f>
        <v>737.5</v>
      </c>
      <c r="N282" s="11">
        <f t="shared" ref="N282:N283" si="751">I282-M282</f>
        <v>5387.5</v>
      </c>
    </row>
    <row r="283" spans="1:14" x14ac:dyDescent="0.25">
      <c r="A283" s="3" t="s">
        <v>303</v>
      </c>
      <c r="B283" s="4" t="s">
        <v>23</v>
      </c>
      <c r="C283" s="4" t="s">
        <v>24</v>
      </c>
      <c r="D283" s="3" t="s">
        <v>17</v>
      </c>
      <c r="E283" s="4">
        <v>7500</v>
      </c>
      <c r="F283" s="5">
        <f t="shared" si="744"/>
        <v>3900</v>
      </c>
      <c r="G283" s="6">
        <f t="shared" si="745"/>
        <v>1875</v>
      </c>
      <c r="H283" s="5">
        <f t="shared" si="746"/>
        <v>600</v>
      </c>
      <c r="I283" s="7">
        <f t="shared" si="747"/>
        <v>13875</v>
      </c>
      <c r="J283" s="8">
        <f t="shared" si="748"/>
        <v>937.5</v>
      </c>
      <c r="K283" s="5">
        <f t="shared" si="749"/>
        <v>200</v>
      </c>
      <c r="L283" s="4">
        <v>3500</v>
      </c>
      <c r="M283" s="10">
        <f t="shared" si="750"/>
        <v>4637.5</v>
      </c>
      <c r="N283" s="11">
        <f t="shared" si="751"/>
        <v>9237.5</v>
      </c>
    </row>
    <row r="284" spans="1:14" x14ac:dyDescent="0.25">
      <c r="A284" s="3" t="s">
        <v>304</v>
      </c>
      <c r="B284" s="4" t="s">
        <v>15</v>
      </c>
      <c r="C284" s="4" t="s">
        <v>16</v>
      </c>
      <c r="D284" s="3" t="s">
        <v>17</v>
      </c>
      <c r="E284" s="4">
        <v>18050</v>
      </c>
      <c r="F284" s="5">
        <f>E284*52%</f>
        <v>9386</v>
      </c>
      <c r="G284" s="6">
        <f>IF(D284="A",E284*25%,IF(D284="B",E284*15%,E284*10%))</f>
        <v>4512.5</v>
      </c>
      <c r="H284" s="5">
        <f>E284*8%</f>
        <v>1444</v>
      </c>
      <c r="I284" s="7">
        <f>SUM(E284:H284)</f>
        <v>33392.5</v>
      </c>
      <c r="J284" s="8">
        <f>E284*12.5%</f>
        <v>2256.25</v>
      </c>
      <c r="K284" s="5">
        <f>IF(I284&lt;=10000,100,IF(AND(I284&gt;10000,I284&lt;20000),200,300))</f>
        <v>300</v>
      </c>
      <c r="L284" s="9">
        <v>500</v>
      </c>
      <c r="M284" s="10">
        <f>SUM(J284:L284)</f>
        <v>3056.25</v>
      </c>
      <c r="N284" s="11">
        <f>I284-M284</f>
        <v>30336.25</v>
      </c>
    </row>
    <row r="285" spans="1:14" x14ac:dyDescent="0.25">
      <c r="A285" s="3" t="s">
        <v>305</v>
      </c>
      <c r="B285" s="4" t="s">
        <v>19</v>
      </c>
      <c r="C285" s="4" t="s">
        <v>20</v>
      </c>
      <c r="D285" s="3" t="s">
        <v>21</v>
      </c>
      <c r="E285" s="4">
        <v>3500</v>
      </c>
      <c r="F285" s="5">
        <f t="shared" ref="F285:F286" si="752">E285*52%</f>
        <v>1820</v>
      </c>
      <c r="G285" s="6">
        <f t="shared" ref="G285:G286" si="753">IF(D285="A",E285*25%,IF(D285="B",E285*15%,E285*10%))</f>
        <v>525</v>
      </c>
      <c r="H285" s="5">
        <f t="shared" ref="H285:H286" si="754">E285*8%</f>
        <v>280</v>
      </c>
      <c r="I285" s="7">
        <f t="shared" ref="I285:I286" si="755">SUM(E285:H285)</f>
        <v>6125</v>
      </c>
      <c r="J285" s="8">
        <f t="shared" ref="J285:J286" si="756">E285*12.5%</f>
        <v>437.5</v>
      </c>
      <c r="K285" s="5">
        <f t="shared" ref="K285:K286" si="757">IF(I285&lt;=10000,100,IF(AND(I285&gt;10000,I285&lt;20000),200,300))</f>
        <v>100</v>
      </c>
      <c r="L285" s="4">
        <v>200</v>
      </c>
      <c r="M285" s="10">
        <f t="shared" ref="M285:M286" si="758">SUM(J285:L285)</f>
        <v>737.5</v>
      </c>
      <c r="N285" s="11">
        <f t="shared" ref="N285:N286" si="759">I285-M285</f>
        <v>5387.5</v>
      </c>
    </row>
    <row r="286" spans="1:14" x14ac:dyDescent="0.25">
      <c r="A286" s="3" t="s">
        <v>306</v>
      </c>
      <c r="B286" s="4" t="s">
        <v>23</v>
      </c>
      <c r="C286" s="4" t="s">
        <v>24</v>
      </c>
      <c r="D286" s="3" t="s">
        <v>17</v>
      </c>
      <c r="E286" s="4">
        <v>7500</v>
      </c>
      <c r="F286" s="5">
        <f t="shared" si="752"/>
        <v>3900</v>
      </c>
      <c r="G286" s="6">
        <f t="shared" si="753"/>
        <v>1875</v>
      </c>
      <c r="H286" s="5">
        <f t="shared" si="754"/>
        <v>600</v>
      </c>
      <c r="I286" s="7">
        <f t="shared" si="755"/>
        <v>13875</v>
      </c>
      <c r="J286" s="8">
        <f t="shared" si="756"/>
        <v>937.5</v>
      </c>
      <c r="K286" s="5">
        <f t="shared" si="757"/>
        <v>200</v>
      </c>
      <c r="L286" s="4">
        <v>3500</v>
      </c>
      <c r="M286" s="10">
        <f t="shared" si="758"/>
        <v>4637.5</v>
      </c>
      <c r="N286" s="11">
        <f t="shared" si="759"/>
        <v>9237.5</v>
      </c>
    </row>
    <row r="287" spans="1:14" x14ac:dyDescent="0.25">
      <c r="A287" s="3" t="s">
        <v>307</v>
      </c>
      <c r="B287" s="4" t="s">
        <v>15</v>
      </c>
      <c r="C287" s="4" t="s">
        <v>16</v>
      </c>
      <c r="D287" s="3" t="s">
        <v>17</v>
      </c>
      <c r="E287" s="4">
        <v>18050</v>
      </c>
      <c r="F287" s="5">
        <f>E287*52%</f>
        <v>9386</v>
      </c>
      <c r="G287" s="6">
        <f>IF(D287="A",E287*25%,IF(D287="B",E287*15%,E287*10%))</f>
        <v>4512.5</v>
      </c>
      <c r="H287" s="5">
        <f>E287*8%</f>
        <v>1444</v>
      </c>
      <c r="I287" s="7">
        <f>SUM(E287:H287)</f>
        <v>33392.5</v>
      </c>
      <c r="J287" s="8">
        <f>E287*12.5%</f>
        <v>2256.25</v>
      </c>
      <c r="K287" s="5">
        <f>IF(I287&lt;=10000,100,IF(AND(I287&gt;10000,I287&lt;20000),200,300))</f>
        <v>300</v>
      </c>
      <c r="L287" s="9">
        <v>500</v>
      </c>
      <c r="M287" s="10">
        <f>SUM(J287:L287)</f>
        <v>3056.25</v>
      </c>
      <c r="N287" s="11">
        <f>I287-M287</f>
        <v>30336.25</v>
      </c>
    </row>
    <row r="288" spans="1:14" x14ac:dyDescent="0.25">
      <c r="A288" s="3" t="s">
        <v>308</v>
      </c>
      <c r="B288" s="4" t="s">
        <v>19</v>
      </c>
      <c r="C288" s="4" t="s">
        <v>20</v>
      </c>
      <c r="D288" s="3" t="s">
        <v>21</v>
      </c>
      <c r="E288" s="4">
        <v>3500</v>
      </c>
      <c r="F288" s="5">
        <f t="shared" ref="F288:F289" si="760">E288*52%</f>
        <v>1820</v>
      </c>
      <c r="G288" s="6">
        <f t="shared" ref="G288:G289" si="761">IF(D288="A",E288*25%,IF(D288="B",E288*15%,E288*10%))</f>
        <v>525</v>
      </c>
      <c r="H288" s="5">
        <f t="shared" ref="H288:H289" si="762">E288*8%</f>
        <v>280</v>
      </c>
      <c r="I288" s="7">
        <f t="shared" ref="I288:I289" si="763">SUM(E288:H288)</f>
        <v>6125</v>
      </c>
      <c r="J288" s="8">
        <f t="shared" ref="J288:J289" si="764">E288*12.5%</f>
        <v>437.5</v>
      </c>
      <c r="K288" s="5">
        <f t="shared" ref="K288:K289" si="765">IF(I288&lt;=10000,100,IF(AND(I288&gt;10000,I288&lt;20000),200,300))</f>
        <v>100</v>
      </c>
      <c r="L288" s="4">
        <v>200</v>
      </c>
      <c r="M288" s="10">
        <f t="shared" ref="M288:M289" si="766">SUM(J288:L288)</f>
        <v>737.5</v>
      </c>
      <c r="N288" s="11">
        <f t="shared" ref="N288:N289" si="767">I288-M288</f>
        <v>5387.5</v>
      </c>
    </row>
    <row r="289" spans="1:14" x14ac:dyDescent="0.25">
      <c r="A289" s="3" t="s">
        <v>309</v>
      </c>
      <c r="B289" s="4" t="s">
        <v>23</v>
      </c>
      <c r="C289" s="4" t="s">
        <v>24</v>
      </c>
      <c r="D289" s="3" t="s">
        <v>17</v>
      </c>
      <c r="E289" s="4">
        <v>7500</v>
      </c>
      <c r="F289" s="5">
        <f t="shared" si="760"/>
        <v>3900</v>
      </c>
      <c r="G289" s="6">
        <f t="shared" si="761"/>
        <v>1875</v>
      </c>
      <c r="H289" s="5">
        <f t="shared" si="762"/>
        <v>600</v>
      </c>
      <c r="I289" s="7">
        <f t="shared" si="763"/>
        <v>13875</v>
      </c>
      <c r="J289" s="8">
        <f t="shared" si="764"/>
        <v>937.5</v>
      </c>
      <c r="K289" s="5">
        <f t="shared" si="765"/>
        <v>200</v>
      </c>
      <c r="L289" s="4">
        <v>3500</v>
      </c>
      <c r="M289" s="10">
        <f t="shared" si="766"/>
        <v>4637.5</v>
      </c>
      <c r="N289" s="11">
        <f t="shared" si="767"/>
        <v>9237.5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Window option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2024-01-30T16:51:53Z</dcterms:created>
  <dcterms:modified xsi:type="dcterms:W3CDTF">2024-01-30T16:52:43Z</dcterms:modified>
</cp:coreProperties>
</file>