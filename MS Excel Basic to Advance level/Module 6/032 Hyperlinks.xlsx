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Sheet1" sheetId="1" r:id="rId1"/>
    <sheet name="employee details" sheetId="2" r:id="rId2"/>
    <sheet name="Conditional formatting" sheetId="3" r:id="rId3"/>
    <sheet name="salary statement" sheetId="4" r:id="rId4"/>
  </sheets>
  <definedNames>
    <definedName name="_xlnm._FilterDatabase" localSheetId="2" hidden="1">'Conditional formatting'!$A$1:$G$11</definedName>
    <definedName name="Z_0F97B8E8_504E_4F63_B247_A98076E8E8AC_.wvu.FilterData" localSheetId="2" hidden="1">'Conditional formatting'!$A$1:$G$11</definedName>
    <definedName name="Z_4A41623D_F32B_4D0C_A66F_ED5102892AEF_.wvu.FilterData" localSheetId="2" hidden="1">'Conditional formatting'!$A$1:$G$11</definedName>
    <definedName name="Z_9248CEC2_F63F_4CBD_A218_D7A1341C30A4_.wvu.FilterData" localSheetId="2" hidden="1">'Conditional formatting'!$A$1:$G$11</definedName>
    <definedName name="Z_A7785CAB_B138_4C42_97F4_1E6C2C63E74B_.wvu.FilterData" localSheetId="2" hidden="1">'Conditional formatting'!$A$1:$G$11</definedName>
    <definedName name="Z_C059489B_483A_4837_BB22_8ADAEBA9E051_.wvu.FilterData" localSheetId="2" hidden="1">'Conditional formatting'!$A$1:$G$11</definedName>
    <definedName name="Z_DDC982DC_6E85_4FB6_9D39_3AB67358F89C_.wvu.FilterData" localSheetId="2" hidden="1">'Conditional formatting'!$A$1:$G$11</definedName>
    <definedName name="Z_FC1609A0_BB17_40C8_AE33_13B260A9B9A1_.wvu.FilterData" localSheetId="2" hidden="1">'Conditional formatting'!$A$1:$G$11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4" l="1"/>
  <c r="G2" i="4"/>
  <c r="H2" i="4"/>
  <c r="I2" i="4"/>
  <c r="K2" i="4" s="1"/>
  <c r="M2" i="4" s="1"/>
  <c r="N2" i="4" s="1"/>
  <c r="J2" i="4"/>
  <c r="F3" i="4"/>
  <c r="I3" i="4" s="1"/>
  <c r="K3" i="4" s="1"/>
  <c r="M3" i="4" s="1"/>
  <c r="N3" i="4" s="1"/>
  <c r="G3" i="4"/>
  <c r="H3" i="4"/>
  <c r="J3" i="4"/>
  <c r="F4" i="4"/>
  <c r="I4" i="4" s="1"/>
  <c r="K4" i="4" s="1"/>
  <c r="M4" i="4" s="1"/>
  <c r="N4" i="4" s="1"/>
  <c r="G4" i="4"/>
  <c r="H4" i="4"/>
  <c r="J4" i="4"/>
  <c r="F5" i="4"/>
  <c r="I5" i="4" s="1"/>
  <c r="K5" i="4" s="1"/>
  <c r="M5" i="4" s="1"/>
  <c r="N5" i="4" s="1"/>
  <c r="G5" i="4"/>
  <c r="H5" i="4"/>
  <c r="J5" i="4"/>
  <c r="F6" i="4"/>
  <c r="G6" i="4"/>
  <c r="H6" i="4"/>
  <c r="I6" i="4"/>
  <c r="K6" i="4" s="1"/>
  <c r="M6" i="4" s="1"/>
  <c r="N6" i="4" s="1"/>
  <c r="J6" i="4"/>
  <c r="F7" i="4"/>
  <c r="I7" i="4" s="1"/>
  <c r="K7" i="4" s="1"/>
  <c r="M7" i="4" s="1"/>
  <c r="N7" i="4" s="1"/>
  <c r="G7" i="4"/>
  <c r="H7" i="4"/>
  <c r="J7" i="4"/>
  <c r="F8" i="4"/>
  <c r="I8" i="4" s="1"/>
  <c r="K8" i="4" s="1"/>
  <c r="M8" i="4" s="1"/>
  <c r="N8" i="4" s="1"/>
  <c r="G8" i="4"/>
  <c r="H8" i="4"/>
  <c r="J8" i="4"/>
  <c r="F9" i="4"/>
  <c r="I9" i="4" s="1"/>
  <c r="K9" i="4" s="1"/>
  <c r="M9" i="4" s="1"/>
  <c r="N9" i="4" s="1"/>
  <c r="G9" i="4"/>
  <c r="H9" i="4"/>
  <c r="J9" i="4"/>
  <c r="F10" i="4"/>
  <c r="G10" i="4"/>
  <c r="H10" i="4"/>
  <c r="I10" i="4"/>
  <c r="K10" i="4" s="1"/>
  <c r="M10" i="4" s="1"/>
  <c r="N10" i="4" s="1"/>
  <c r="J10" i="4"/>
  <c r="F11" i="4"/>
  <c r="I11" i="4" s="1"/>
  <c r="K11" i="4" s="1"/>
  <c r="M11" i="4" s="1"/>
  <c r="N11" i="4" s="1"/>
  <c r="G11" i="4"/>
  <c r="H11" i="4"/>
  <c r="J11" i="4"/>
  <c r="F2" i="3"/>
  <c r="G2" i="3"/>
  <c r="G13" i="3" s="1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C13" i="3"/>
  <c r="D13" i="3"/>
  <c r="E13" i="3"/>
  <c r="F13" i="3"/>
  <c r="C15" i="3"/>
  <c r="D15" i="3"/>
  <c r="E15" i="3"/>
  <c r="F15" i="3"/>
  <c r="C17" i="3"/>
  <c r="D17" i="3"/>
  <c r="E17" i="3"/>
  <c r="F17" i="3"/>
  <c r="D35" i="2"/>
  <c r="D10" i="1"/>
  <c r="G15" i="3" l="1"/>
  <c r="G17" i="3"/>
</calcChain>
</file>

<file path=xl/sharedStrings.xml><?xml version="1.0" encoding="utf-8"?>
<sst xmlns="http://schemas.openxmlformats.org/spreadsheetml/2006/main" count="222" uniqueCount="111">
  <si>
    <t>Hyperlinks document</t>
  </si>
  <si>
    <t>032 Hyperlinks.docs</t>
  </si>
  <si>
    <t>Hyperlink document</t>
  </si>
  <si>
    <t>Salary staement</t>
  </si>
  <si>
    <t>[Salary statement]!C14</t>
  </si>
  <si>
    <t>Salary statement</t>
  </si>
  <si>
    <t>Formula auditing examples</t>
  </si>
  <si>
    <t>028 Formula auditing.xlsx</t>
  </si>
  <si>
    <t>Formula auditing</t>
  </si>
  <si>
    <t>Google website</t>
  </si>
  <si>
    <t>www.google.com</t>
  </si>
  <si>
    <t>Google</t>
  </si>
  <si>
    <t>Link</t>
  </si>
  <si>
    <t>Location</t>
  </si>
  <si>
    <t>Name</t>
  </si>
  <si>
    <t>Manager</t>
  </si>
  <si>
    <t>Naveen</t>
  </si>
  <si>
    <t>Sales executive</t>
  </si>
  <si>
    <t>Ravikumar</t>
  </si>
  <si>
    <t>Designation</t>
  </si>
  <si>
    <t>SL No</t>
  </si>
  <si>
    <t>Bangalore</t>
  </si>
  <si>
    <t>Kumar</t>
  </si>
  <si>
    <t>Shimoga</t>
  </si>
  <si>
    <t>Anand</t>
  </si>
  <si>
    <t>Hubli</t>
  </si>
  <si>
    <t>Trainer</t>
  </si>
  <si>
    <t>Sanjeev</t>
  </si>
  <si>
    <t>Temporary employees, will join from Oct 15</t>
  </si>
  <si>
    <t>Mysore</t>
  </si>
  <si>
    <t>Clerk</t>
  </si>
  <si>
    <t>Chandrashekar</t>
  </si>
  <si>
    <t>Supervisor</t>
  </si>
  <si>
    <t>Lokesh</t>
  </si>
  <si>
    <t>Dharwad</t>
  </si>
  <si>
    <t>Production Manager</t>
  </si>
  <si>
    <t>Maheshwar prasad</t>
  </si>
  <si>
    <t>Madikeri</t>
  </si>
  <si>
    <t>Satish chandra</t>
  </si>
  <si>
    <t>1st Main
3rd Cross, 
Kuvempunagara
Mysore</t>
  </si>
  <si>
    <t>Mangalore</t>
  </si>
  <si>
    <t>Rajesh kumar</t>
  </si>
  <si>
    <t>#6, 10th cross, Vishweshwaranagar, 2nd stage</t>
  </si>
  <si>
    <t>#3, 1st Floor, 2nd Main, Saraswathipuram</t>
  </si>
  <si>
    <t>Address</t>
  </si>
  <si>
    <t>City</t>
  </si>
  <si>
    <t>Salary</t>
  </si>
  <si>
    <t>E010</t>
  </si>
  <si>
    <t>E009</t>
  </si>
  <si>
    <t>E007</t>
  </si>
  <si>
    <t>E005</t>
  </si>
  <si>
    <t>E003</t>
  </si>
  <si>
    <t>E002</t>
  </si>
  <si>
    <t>E001</t>
  </si>
  <si>
    <t>green b, i</t>
  </si>
  <si>
    <t>&gt;50</t>
  </si>
  <si>
    <t>blue,b</t>
  </si>
  <si>
    <t>&gt;=35 and &lt;=50</t>
  </si>
  <si>
    <t>red,b,u</t>
  </si>
  <si>
    <t>&lt;35</t>
  </si>
  <si>
    <t>Lowest</t>
  </si>
  <si>
    <t>Highest</t>
  </si>
  <si>
    <t>Count</t>
  </si>
  <si>
    <t>Daya</t>
  </si>
  <si>
    <t>Vinod</t>
  </si>
  <si>
    <t>Rajesh</t>
  </si>
  <si>
    <t>Mahesh</t>
  </si>
  <si>
    <t>Vasanth</t>
  </si>
  <si>
    <t>Ravi</t>
  </si>
  <si>
    <t>Manoj</t>
  </si>
  <si>
    <t>Mahadev</t>
  </si>
  <si>
    <t>Avinash</t>
  </si>
  <si>
    <t>Average</t>
  </si>
  <si>
    <t>Total</t>
  </si>
  <si>
    <t>Practicals</t>
  </si>
  <si>
    <t>Interview</t>
  </si>
  <si>
    <t>Written test</t>
  </si>
  <si>
    <t>Student Name</t>
  </si>
  <si>
    <t>Administrator</t>
  </si>
  <si>
    <t>Sales Manager</t>
  </si>
  <si>
    <t>Vinay</t>
  </si>
  <si>
    <t>Emp Name</t>
  </si>
  <si>
    <t>Emp Id</t>
  </si>
  <si>
    <t>C</t>
  </si>
  <si>
    <t>Marketing Executive</t>
  </si>
  <si>
    <t>B</t>
  </si>
  <si>
    <t>Sales rep</t>
  </si>
  <si>
    <t>Pooja</t>
  </si>
  <si>
    <t>A</t>
  </si>
  <si>
    <t>Sanjana</t>
  </si>
  <si>
    <t>E008</t>
  </si>
  <si>
    <t>E006</t>
  </si>
  <si>
    <t>Coordinator</t>
  </si>
  <si>
    <t>Mahendra</t>
  </si>
  <si>
    <t>E004</t>
  </si>
  <si>
    <t>City type</t>
  </si>
  <si>
    <t>Gross Salary &lt;=10000,100
Gross Salary &gt;10000 and &lt;=20000 ,200
Gross Salary &gt; 20000,300</t>
  </si>
  <si>
    <t>PT</t>
  </si>
  <si>
    <t>12.5% of Basic</t>
  </si>
  <si>
    <t>PF</t>
  </si>
  <si>
    <t>8% of Basic</t>
  </si>
  <si>
    <t>TA</t>
  </si>
  <si>
    <t>City type A, 25% of Basic
City type B, 15% of Basic
City type C, 10% of Basic</t>
  </si>
  <si>
    <t>HRA</t>
  </si>
  <si>
    <t>52% of basic</t>
  </si>
  <si>
    <t>DA</t>
  </si>
  <si>
    <t>Net Salary</t>
  </si>
  <si>
    <t>Deduction Total</t>
  </si>
  <si>
    <t>Insurance</t>
  </si>
  <si>
    <t>Gross salary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</si>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</sst>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Bodoni MT"/>
      <family val="1"/>
    </font>
    <font>
      <b/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3" fillId="0" borderId="0" xfId="1"/>
    <xf numFmtId="0" fontId="3" fillId="0" borderId="1" xfId="1" applyBorder="1"/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textRotation="90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2" fontId="0" fillId="0" borderId="0" xfId="0" applyNumberFormat="1"/>
    <xf numFmtId="0" fontId="6" fillId="0" borderId="0" xfId="0" applyFont="1" applyFill="1" applyBorder="1" applyAlignment="1">
      <alignment vertical="center"/>
    </xf>
    <xf numFmtId="2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0" xfId="0" applyFill="1" applyBorder="1" applyAlignment="1">
      <alignment horizontal="left"/>
    </xf>
    <xf numFmtId="0" fontId="0" fillId="0" borderId="0" xfId="0" applyFill="1"/>
    <xf numFmtId="2" fontId="0" fillId="0" borderId="1" xfId="0" quotePrefix="1" applyNumberFormat="1" applyBorder="1" applyAlignment="1">
      <alignment wrapText="1"/>
    </xf>
    <xf numFmtId="1" fontId="1" fillId="0" borderId="1" xfId="0" quotePrefix="1" applyNumberFormat="1" applyFont="1" applyBorder="1" applyAlignment="1">
      <alignment wrapText="1"/>
    </xf>
    <xf numFmtId="0" fontId="0" fillId="0" borderId="1" xfId="0" quotePrefix="1" applyBorder="1" applyAlignment="1">
      <alignment wrapText="1"/>
    </xf>
    <xf numFmtId="1" fontId="0" fillId="0" borderId="1" xfId="0" quotePrefix="1" applyNumberFormat="1" applyBorder="1" applyAlignment="1">
      <alignment wrapText="1"/>
    </xf>
    <xf numFmtId="0" fontId="8" fillId="0" borderId="1" xfId="0" quotePrefix="1" applyFont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0" fillId="3" borderId="1" xfId="0" applyFill="1" applyBorder="1"/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/>
        <i val="0"/>
        <u/>
        <color rgb="FFFF0000"/>
      </font>
    </dxf>
    <dxf>
      <font>
        <b/>
        <i/>
        <color theme="9"/>
      </font>
    </dxf>
    <dxf>
      <font>
        <b/>
        <i val="0"/>
        <color rgb="FF00206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032%20Hyperlinks.docx" TargetMode="External"/><Relationship Id="rId2" Type="http://schemas.openxmlformats.org/officeDocument/2006/relationships/hyperlink" Target="032%20Hyperlinks.xlsx" TargetMode="External"/><Relationship Id="rId1" Type="http://schemas.openxmlformats.org/officeDocument/2006/relationships/hyperlink" Target="028%20Formula%20Auditing.xls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goog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0"/>
  <sheetViews>
    <sheetView tabSelected="1" zoomScale="175" zoomScaleNormal="175" workbookViewId="0">
      <selection activeCell="C10" sqref="C10"/>
    </sheetView>
  </sheetViews>
  <sheetFormatPr defaultRowHeight="15" x14ac:dyDescent="0.25"/>
  <cols>
    <col min="2" max="2" width="17.28515625" customWidth="1"/>
    <col min="3" max="3" width="27" customWidth="1"/>
    <col min="4" max="4" width="25.5703125" bestFit="1" customWidth="1"/>
  </cols>
  <sheetData>
    <row r="3" spans="2:4" x14ac:dyDescent="0.25">
      <c r="B3" s="41" t="s">
        <v>14</v>
      </c>
      <c r="C3" s="41" t="s">
        <v>13</v>
      </c>
      <c r="D3" s="41" t="s">
        <v>12</v>
      </c>
    </row>
    <row r="4" spans="2:4" x14ac:dyDescent="0.25">
      <c r="B4" s="3" t="s">
        <v>11</v>
      </c>
      <c r="C4" s="3" t="s">
        <v>10</v>
      </c>
      <c r="D4" s="2" t="s">
        <v>9</v>
      </c>
    </row>
    <row r="5" spans="2:4" x14ac:dyDescent="0.25">
      <c r="B5" s="3" t="s">
        <v>8</v>
      </c>
      <c r="C5" s="3" t="s">
        <v>7</v>
      </c>
      <c r="D5" s="2" t="s">
        <v>6</v>
      </c>
    </row>
    <row r="6" spans="2:4" x14ac:dyDescent="0.25">
      <c r="B6" s="3" t="s">
        <v>5</v>
      </c>
      <c r="C6" s="3" t="s">
        <v>4</v>
      </c>
      <c r="D6" s="2" t="s">
        <v>3</v>
      </c>
    </row>
    <row r="7" spans="2:4" x14ac:dyDescent="0.25">
      <c r="B7" s="3" t="s">
        <v>2</v>
      </c>
      <c r="C7" s="3" t="s">
        <v>1</v>
      </c>
      <c r="D7" s="2" t="s">
        <v>0</v>
      </c>
    </row>
    <row r="10" spans="2:4" x14ac:dyDescent="0.25">
      <c r="D10" s="1" t="str">
        <f>HYPERLINK("032 Hyperlinks.docx","Reference document")</f>
        <v>Reference document</v>
      </c>
    </row>
  </sheetData>
  <hyperlinks>
    <hyperlink ref="D5" r:id="rId1"/>
    <hyperlink ref="D6" r:id="rId2" location="'salary statement'!C14"/>
    <hyperlink ref="D7" r:id="rId3"/>
    <hyperlink ref="D4" r:id="rId4"/>
  </hyperlinks>
  <pageMargins left="0.7" right="0.7" top="0.75" bottom="0.75" header="0.3" footer="0.3"/>
  <pageSetup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35"/>
  <sheetViews>
    <sheetView zoomScale="130" zoomScaleNormal="130" workbookViewId="0">
      <selection activeCell="C3" sqref="C3"/>
    </sheetView>
  </sheetViews>
  <sheetFormatPr defaultRowHeight="15" x14ac:dyDescent="0.25"/>
  <cols>
    <col min="1" max="1" width="6.42578125" customWidth="1"/>
    <col min="2" max="2" width="17.85546875" bestFit="1" customWidth="1"/>
    <col min="3" max="3" width="19.140625" bestFit="1" customWidth="1"/>
    <col min="4" max="4" width="7.42578125" customWidth="1"/>
    <col min="5" max="5" width="11.7109375" bestFit="1" customWidth="1"/>
    <col min="6" max="6" width="19.7109375" customWidth="1"/>
  </cols>
  <sheetData>
    <row r="1" spans="1:6" ht="33" x14ac:dyDescent="0.25">
      <c r="A1" s="10" t="s">
        <v>20</v>
      </c>
      <c r="B1" s="9" t="s">
        <v>14</v>
      </c>
      <c r="C1" s="9" t="s">
        <v>19</v>
      </c>
      <c r="D1" s="9" t="s">
        <v>46</v>
      </c>
      <c r="E1" s="9" t="s">
        <v>45</v>
      </c>
      <c r="F1" s="9" t="s">
        <v>44</v>
      </c>
    </row>
    <row r="2" spans="1:6" ht="50.25" customHeight="1" x14ac:dyDescent="0.25">
      <c r="A2" s="8">
        <v>1</v>
      </c>
      <c r="B2" s="5" t="s">
        <v>18</v>
      </c>
      <c r="C2" s="5" t="s">
        <v>17</v>
      </c>
      <c r="D2" s="5">
        <v>25000</v>
      </c>
      <c r="E2" s="14" t="s">
        <v>25</v>
      </c>
      <c r="F2" s="13" t="s">
        <v>43</v>
      </c>
    </row>
    <row r="3" spans="1:6" ht="45" x14ac:dyDescent="0.25">
      <c r="A3" s="7">
        <v>2</v>
      </c>
      <c r="B3" s="6" t="s">
        <v>16</v>
      </c>
      <c r="C3" s="3" t="s">
        <v>15</v>
      </c>
      <c r="D3" s="3">
        <v>32500</v>
      </c>
      <c r="E3" s="12" t="s">
        <v>29</v>
      </c>
      <c r="F3" s="11" t="s">
        <v>42</v>
      </c>
    </row>
    <row r="4" spans="1:6" ht="60" x14ac:dyDescent="0.25">
      <c r="A4" s="7">
        <v>3</v>
      </c>
      <c r="B4" s="3" t="s">
        <v>41</v>
      </c>
      <c r="C4" s="3" t="s">
        <v>30</v>
      </c>
      <c r="D4" s="3">
        <v>16400</v>
      </c>
      <c r="E4" s="12" t="s">
        <v>40</v>
      </c>
      <c r="F4" s="11" t="s">
        <v>39</v>
      </c>
    </row>
    <row r="5" spans="1:6" x14ac:dyDescent="0.25">
      <c r="A5" s="7">
        <v>4</v>
      </c>
      <c r="B5" s="3" t="s">
        <v>38</v>
      </c>
      <c r="C5" s="3" t="s">
        <v>26</v>
      </c>
      <c r="D5" s="3">
        <v>18250</v>
      </c>
      <c r="E5" s="12" t="s">
        <v>37</v>
      </c>
      <c r="F5" s="11"/>
    </row>
    <row r="6" spans="1:6" x14ac:dyDescent="0.25">
      <c r="A6" s="7">
        <v>5</v>
      </c>
      <c r="B6" s="3" t="s">
        <v>36</v>
      </c>
      <c r="C6" s="3" t="s">
        <v>35</v>
      </c>
      <c r="D6" s="3">
        <v>26000</v>
      </c>
      <c r="E6" s="12" t="s">
        <v>34</v>
      </c>
      <c r="F6" s="11"/>
    </row>
    <row r="7" spans="1:6" x14ac:dyDescent="0.25">
      <c r="A7" s="7">
        <v>6</v>
      </c>
      <c r="B7" s="3" t="s">
        <v>33</v>
      </c>
      <c r="C7" s="3" t="s">
        <v>32</v>
      </c>
      <c r="D7" s="3">
        <v>15200</v>
      </c>
      <c r="E7" s="12" t="s">
        <v>25</v>
      </c>
      <c r="F7" s="11"/>
    </row>
    <row r="8" spans="1:6" x14ac:dyDescent="0.25">
      <c r="A8" s="7">
        <v>7</v>
      </c>
      <c r="B8" s="3" t="s">
        <v>31</v>
      </c>
      <c r="C8" s="3" t="s">
        <v>30</v>
      </c>
      <c r="D8" s="3">
        <v>12200</v>
      </c>
      <c r="E8" s="12" t="s">
        <v>29</v>
      </c>
      <c r="F8" s="42" t="s">
        <v>28</v>
      </c>
    </row>
    <row r="9" spans="1:6" x14ac:dyDescent="0.25">
      <c r="A9" s="7">
        <v>8</v>
      </c>
      <c r="B9" s="3" t="s">
        <v>27</v>
      </c>
      <c r="C9" s="3" t="s">
        <v>26</v>
      </c>
      <c r="D9" s="3">
        <v>13500</v>
      </c>
      <c r="E9" s="12" t="s">
        <v>25</v>
      </c>
      <c r="F9" s="43"/>
    </row>
    <row r="10" spans="1:6" x14ac:dyDescent="0.25">
      <c r="A10" s="7">
        <v>9</v>
      </c>
      <c r="B10" s="3" t="s">
        <v>24</v>
      </c>
      <c r="C10" s="3" t="s">
        <v>15</v>
      </c>
      <c r="D10" s="3">
        <v>25000</v>
      </c>
      <c r="E10" s="12" t="s">
        <v>23</v>
      </c>
      <c r="F10" s="44"/>
    </row>
    <row r="11" spans="1:6" x14ac:dyDescent="0.25">
      <c r="A11" s="7">
        <v>10</v>
      </c>
      <c r="B11" s="3" t="s">
        <v>22</v>
      </c>
      <c r="C11" s="3" t="s">
        <v>17</v>
      </c>
      <c r="D11" s="3">
        <v>17500</v>
      </c>
      <c r="E11" s="12" t="s">
        <v>21</v>
      </c>
      <c r="F11" s="11"/>
    </row>
    <row r="17" spans="1:4" ht="33" x14ac:dyDescent="0.25">
      <c r="A17" s="10" t="s">
        <v>20</v>
      </c>
      <c r="B17" s="9" t="s">
        <v>14</v>
      </c>
      <c r="C17" s="9" t="s">
        <v>19</v>
      </c>
    </row>
    <row r="18" spans="1:4" x14ac:dyDescent="0.25">
      <c r="A18" s="8">
        <v>1</v>
      </c>
      <c r="B18" s="5" t="s">
        <v>18</v>
      </c>
      <c r="C18" s="5" t="s">
        <v>17</v>
      </c>
    </row>
    <row r="19" spans="1:4" x14ac:dyDescent="0.25">
      <c r="A19" s="8">
        <v>2</v>
      </c>
      <c r="B19" s="6" t="s">
        <v>16</v>
      </c>
      <c r="C19" s="5" t="s">
        <v>15</v>
      </c>
    </row>
    <row r="24" spans="1:4" x14ac:dyDescent="0.25">
      <c r="A24" s="8">
        <v>1</v>
      </c>
      <c r="B24" s="5" t="s">
        <v>18</v>
      </c>
      <c r="C24" s="5" t="s">
        <v>17</v>
      </c>
    </row>
    <row r="25" spans="1:4" x14ac:dyDescent="0.25">
      <c r="A25" s="7">
        <v>2</v>
      </c>
      <c r="B25" s="6" t="s">
        <v>16</v>
      </c>
      <c r="C25" s="5" t="s">
        <v>15</v>
      </c>
    </row>
    <row r="31" spans="1:4" x14ac:dyDescent="0.25">
      <c r="D31">
        <v>50</v>
      </c>
    </row>
    <row r="32" spans="1:4" x14ac:dyDescent="0.25">
      <c r="D32">
        <v>12</v>
      </c>
    </row>
    <row r="33" spans="4:4" x14ac:dyDescent="0.25">
      <c r="D33">
        <v>50</v>
      </c>
    </row>
    <row r="34" spans="4:4" x14ac:dyDescent="0.25">
      <c r="D34">
        <v>50</v>
      </c>
    </row>
    <row r="35" spans="4:4" x14ac:dyDescent="0.25">
      <c r="D35" s="4">
        <f>SUM(D30:D34)</f>
        <v>162</v>
      </c>
    </row>
  </sheetData>
  <mergeCells count="1">
    <mergeCell ref="F8:F10"/>
  </mergeCells>
  <pageMargins left="0.7" right="0.7" top="0.75" bottom="0.75" header="0.3" footer="0.3"/>
  <pageSetup orientation="portrait" r:id="rId1"/>
  <cellWatches>
    <cellWatch r="H3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zoomScale="90" zoomScaleNormal="90" workbookViewId="0">
      <selection activeCell="L8" sqref="L8"/>
    </sheetView>
  </sheetViews>
  <sheetFormatPr defaultRowHeight="15" x14ac:dyDescent="0.25"/>
  <cols>
    <col min="1" max="1" width="6.140625" bestFit="1" customWidth="1"/>
    <col min="2" max="2" width="18.7109375" customWidth="1"/>
    <col min="3" max="3" width="15.85546875" bestFit="1" customWidth="1"/>
    <col min="4" max="4" width="13.5703125" customWidth="1"/>
    <col min="5" max="5" width="13" bestFit="1" customWidth="1"/>
    <col min="6" max="6" width="15.140625" customWidth="1"/>
    <col min="7" max="7" width="12.85546875" customWidth="1"/>
  </cols>
  <sheetData>
    <row r="1" spans="1:7" ht="44.25" x14ac:dyDescent="0.25">
      <c r="A1" s="26" t="s">
        <v>20</v>
      </c>
      <c r="B1" s="25" t="s">
        <v>77</v>
      </c>
      <c r="C1" s="25" t="s">
        <v>76</v>
      </c>
      <c r="D1" s="25" t="s">
        <v>75</v>
      </c>
      <c r="E1" s="25" t="s">
        <v>74</v>
      </c>
      <c r="F1" s="24" t="s">
        <v>73</v>
      </c>
      <c r="G1" s="24" t="s">
        <v>72</v>
      </c>
    </row>
    <row r="2" spans="1:7" ht="18" customHeight="1" x14ac:dyDescent="0.25">
      <c r="A2" s="16">
        <v>1</v>
      </c>
      <c r="B2" s="22" t="s">
        <v>71</v>
      </c>
      <c r="C2" s="16">
        <v>32</v>
      </c>
      <c r="D2" s="16">
        <v>34</v>
      </c>
      <c r="E2" s="16">
        <v>45</v>
      </c>
      <c r="F2" s="21">
        <f t="shared" ref="F2:F11" si="0">SUM(C2:E2)</f>
        <v>111</v>
      </c>
      <c r="G2" s="20">
        <f t="shared" ref="G2:G11" si="1">AVERAGE(C2:E2)</f>
        <v>37</v>
      </c>
    </row>
    <row r="3" spans="1:7" ht="18" customHeight="1" x14ac:dyDescent="0.25">
      <c r="A3" s="16">
        <v>2</v>
      </c>
      <c r="B3" s="22" t="s">
        <v>70</v>
      </c>
      <c r="C3" s="16">
        <v>95</v>
      </c>
      <c r="D3" s="16">
        <v>45</v>
      </c>
      <c r="E3" s="16">
        <v>85</v>
      </c>
      <c r="F3" s="21">
        <f t="shared" si="0"/>
        <v>225</v>
      </c>
      <c r="G3" s="20">
        <f t="shared" si="1"/>
        <v>75</v>
      </c>
    </row>
    <row r="4" spans="1:7" ht="18" customHeight="1" x14ac:dyDescent="0.25">
      <c r="A4" s="16">
        <v>3</v>
      </c>
      <c r="B4" s="22" t="s">
        <v>69</v>
      </c>
      <c r="C4" s="16">
        <v>36</v>
      </c>
      <c r="D4" s="16">
        <v>45</v>
      </c>
      <c r="E4" s="16">
        <v>36</v>
      </c>
      <c r="F4" s="21">
        <f t="shared" si="0"/>
        <v>117</v>
      </c>
      <c r="G4" s="20">
        <f t="shared" si="1"/>
        <v>39</v>
      </c>
    </row>
    <row r="5" spans="1:7" ht="18" customHeight="1" x14ac:dyDescent="0.25">
      <c r="A5" s="16">
        <v>4</v>
      </c>
      <c r="B5" s="23" t="s">
        <v>68</v>
      </c>
      <c r="C5" s="16">
        <v>85</v>
      </c>
      <c r="D5" s="16">
        <v>32</v>
      </c>
      <c r="E5" s="16">
        <v>15</v>
      </c>
      <c r="F5" s="21">
        <f t="shared" si="0"/>
        <v>132</v>
      </c>
      <c r="G5" s="20">
        <f t="shared" si="1"/>
        <v>44</v>
      </c>
    </row>
    <row r="6" spans="1:7" ht="18" customHeight="1" x14ac:dyDescent="0.25">
      <c r="A6" s="16">
        <v>5</v>
      </c>
      <c r="B6" s="22" t="s">
        <v>67</v>
      </c>
      <c r="C6" s="16">
        <v>65</v>
      </c>
      <c r="D6" s="16">
        <v>85</v>
      </c>
      <c r="E6" s="16">
        <v>74</v>
      </c>
      <c r="F6" s="21">
        <f t="shared" si="0"/>
        <v>224</v>
      </c>
      <c r="G6" s="20">
        <f t="shared" si="1"/>
        <v>74.666666666666671</v>
      </c>
    </row>
    <row r="7" spans="1:7" ht="18" customHeight="1" x14ac:dyDescent="0.25">
      <c r="A7" s="16">
        <v>6</v>
      </c>
      <c r="B7" s="17" t="s">
        <v>66</v>
      </c>
      <c r="C7" s="16">
        <v>45</v>
      </c>
      <c r="D7" s="16">
        <v>75</v>
      </c>
      <c r="E7" s="16">
        <v>85</v>
      </c>
      <c r="F7" s="21">
        <f t="shared" si="0"/>
        <v>205</v>
      </c>
      <c r="G7" s="20">
        <f t="shared" si="1"/>
        <v>68.333333333333329</v>
      </c>
    </row>
    <row r="8" spans="1:7" ht="18" customHeight="1" x14ac:dyDescent="0.25">
      <c r="A8" s="16">
        <v>7</v>
      </c>
      <c r="B8" s="17" t="s">
        <v>65</v>
      </c>
      <c r="C8" s="16">
        <v>96</v>
      </c>
      <c r="D8" s="16">
        <v>85</v>
      </c>
      <c r="E8" s="16">
        <v>36</v>
      </c>
      <c r="F8" s="21">
        <f t="shared" si="0"/>
        <v>217</v>
      </c>
      <c r="G8" s="20">
        <f t="shared" si="1"/>
        <v>72.333333333333329</v>
      </c>
    </row>
    <row r="9" spans="1:7" ht="18" customHeight="1" x14ac:dyDescent="0.25">
      <c r="A9" s="16">
        <v>8</v>
      </c>
      <c r="B9" s="17" t="s">
        <v>27</v>
      </c>
      <c r="C9" s="16">
        <v>35</v>
      </c>
      <c r="D9" s="16">
        <v>58</v>
      </c>
      <c r="E9" s="16">
        <v>62</v>
      </c>
      <c r="F9" s="21">
        <f t="shared" si="0"/>
        <v>155</v>
      </c>
      <c r="G9" s="20">
        <f t="shared" si="1"/>
        <v>51.666666666666664</v>
      </c>
    </row>
    <row r="10" spans="1:7" ht="18" customHeight="1" x14ac:dyDescent="0.25">
      <c r="A10" s="16">
        <v>9</v>
      </c>
      <c r="B10" s="17" t="s">
        <v>64</v>
      </c>
      <c r="C10" s="16">
        <v>25</v>
      </c>
      <c r="D10" s="16">
        <v>59</v>
      </c>
      <c r="E10" s="16">
        <v>35</v>
      </c>
      <c r="F10" s="21">
        <f t="shared" si="0"/>
        <v>119</v>
      </c>
      <c r="G10" s="20">
        <f t="shared" si="1"/>
        <v>39.666666666666664</v>
      </c>
    </row>
    <row r="11" spans="1:7" ht="18" customHeight="1" x14ac:dyDescent="0.25">
      <c r="A11" s="16">
        <v>10</v>
      </c>
      <c r="B11" s="17" t="s">
        <v>63</v>
      </c>
      <c r="C11" s="16">
        <v>16</v>
      </c>
      <c r="D11" s="16">
        <v>74</v>
      </c>
      <c r="E11" s="16">
        <v>85</v>
      </c>
      <c r="F11" s="21">
        <f t="shared" si="0"/>
        <v>175</v>
      </c>
      <c r="G11" s="20">
        <f t="shared" si="1"/>
        <v>58.333333333333336</v>
      </c>
    </row>
    <row r="13" spans="1:7" ht="15.75" x14ac:dyDescent="0.25">
      <c r="B13" s="17" t="s">
        <v>62</v>
      </c>
      <c r="C13" s="16">
        <f>COUNT(C2:C11)</f>
        <v>10</v>
      </c>
      <c r="D13" s="16">
        <f>COUNT(D2:D11)</f>
        <v>10</v>
      </c>
      <c r="E13" s="16">
        <f>COUNT(E2:E11)</f>
        <v>10</v>
      </c>
      <c r="F13" s="16">
        <f>COUNT(F2:F11)</f>
        <v>10</v>
      </c>
      <c r="G13" s="16">
        <f>COUNT(G2:G11)</f>
        <v>10</v>
      </c>
    </row>
    <row r="14" spans="1:7" x14ac:dyDescent="0.25">
      <c r="B14" s="19"/>
      <c r="G14" s="18"/>
    </row>
    <row r="15" spans="1:7" ht="15.75" x14ac:dyDescent="0.25">
      <c r="B15" s="17" t="s">
        <v>61</v>
      </c>
      <c r="C15" s="16">
        <f>MAX(C2:C11)</f>
        <v>96</v>
      </c>
      <c r="D15" s="16">
        <f>MAX(D2:D11)</f>
        <v>85</v>
      </c>
      <c r="E15" s="16">
        <f>MAX(E2:E11)</f>
        <v>85</v>
      </c>
      <c r="F15" s="16">
        <f>MAX(F2:F11)</f>
        <v>225</v>
      </c>
      <c r="G15" s="15">
        <f>MAX(G2:G11)</f>
        <v>75</v>
      </c>
    </row>
    <row r="17" spans="2:7" ht="15.75" x14ac:dyDescent="0.25">
      <c r="B17" s="17" t="s">
        <v>60</v>
      </c>
      <c r="C17" s="16">
        <f>MIN(C2:C11)</f>
        <v>16</v>
      </c>
      <c r="D17" s="16">
        <f>MIN(D2:D11)</f>
        <v>32</v>
      </c>
      <c r="E17" s="16">
        <f>MIN(E2:E11)</f>
        <v>15</v>
      </c>
      <c r="F17" s="16">
        <f>MIN(F2:F11)</f>
        <v>111</v>
      </c>
      <c r="G17" s="15">
        <f>MIN(G2:G11)</f>
        <v>37</v>
      </c>
    </row>
    <row r="21" spans="2:7" x14ac:dyDescent="0.25">
      <c r="C21">
        <v>10</v>
      </c>
    </row>
    <row r="22" spans="2:7" x14ac:dyDescent="0.25">
      <c r="B22" t="s">
        <v>59</v>
      </c>
      <c r="C22" t="s">
        <v>58</v>
      </c>
    </row>
    <row r="23" spans="2:7" x14ac:dyDescent="0.25">
      <c r="B23" t="s">
        <v>57</v>
      </c>
      <c r="C23" t="s">
        <v>56</v>
      </c>
    </row>
    <row r="24" spans="2:7" x14ac:dyDescent="0.25">
      <c r="B24" t="s">
        <v>55</v>
      </c>
      <c r="C24" t="s">
        <v>54</v>
      </c>
    </row>
    <row r="31" spans="2:7" x14ac:dyDescent="0.25">
      <c r="B31" s="4" t="s">
        <v>53</v>
      </c>
    </row>
    <row r="32" spans="2:7" x14ac:dyDescent="0.25">
      <c r="B32" s="4" t="s">
        <v>52</v>
      </c>
    </row>
    <row r="33" spans="2:2" x14ac:dyDescent="0.25">
      <c r="B33" s="4" t="s">
        <v>52</v>
      </c>
    </row>
    <row r="34" spans="2:2" x14ac:dyDescent="0.25">
      <c r="B34" s="4" t="s">
        <v>52</v>
      </c>
    </row>
    <row r="35" spans="2:2" x14ac:dyDescent="0.25">
      <c r="B35" s="4" t="s">
        <v>51</v>
      </c>
    </row>
    <row r="36" spans="2:2" x14ac:dyDescent="0.25">
      <c r="B36" s="4" t="s">
        <v>50</v>
      </c>
    </row>
    <row r="37" spans="2:2" x14ac:dyDescent="0.25">
      <c r="B37" s="4" t="s">
        <v>50</v>
      </c>
    </row>
    <row r="38" spans="2:2" x14ac:dyDescent="0.25">
      <c r="B38" s="4" t="s">
        <v>49</v>
      </c>
    </row>
    <row r="39" spans="2:2" x14ac:dyDescent="0.25">
      <c r="B39" s="4" t="s">
        <v>48</v>
      </c>
    </row>
    <row r="40" spans="2:2" x14ac:dyDescent="0.25">
      <c r="B40" s="4" t="s">
        <v>47</v>
      </c>
    </row>
  </sheetData>
  <conditionalFormatting sqref="C2:E11">
    <cfRule type="cellIs" dxfId="3" priority="2" operator="between">
      <formula>61</formula>
      <formula>100</formula>
    </cfRule>
    <cfRule type="cellIs" dxfId="2" priority="3" operator="between">
      <formula>35</formula>
      <formula>60</formula>
    </cfRule>
    <cfRule type="cellIs" dxfId="1" priority="4" operator="between">
      <formula>0</formula>
      <formula>34</formula>
    </cfRule>
  </conditionalFormatting>
  <conditionalFormatting sqref="B31:B40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3"/>
  <sheetViews>
    <sheetView zoomScale="130" zoomScaleNormal="130" workbookViewId="0">
      <selection activeCell="C14" sqref="C14"/>
    </sheetView>
  </sheetViews>
  <sheetFormatPr defaultRowHeight="15" x14ac:dyDescent="0.25"/>
  <cols>
    <col min="1" max="1" width="7.140625" customWidth="1"/>
    <col min="2" max="2" width="10.42578125" customWidth="1"/>
    <col min="3" max="3" width="19.28515625" bestFit="1" customWidth="1"/>
    <col min="4" max="4" width="6.42578125" customWidth="1"/>
    <col min="5" max="5" width="10" customWidth="1"/>
    <col min="6" max="6" width="7.42578125" customWidth="1"/>
    <col min="7" max="7" width="12.85546875" customWidth="1"/>
    <col min="8" max="8" width="7.28515625" customWidth="1"/>
    <col min="9" max="9" width="7" customWidth="1"/>
    <col min="10" max="10" width="5.28515625" customWidth="1"/>
    <col min="11" max="11" width="15.42578125" customWidth="1"/>
    <col min="12" max="12" width="7.140625" customWidth="1"/>
    <col min="13" max="13" width="13" customWidth="1"/>
    <col min="14" max="14" width="9" bestFit="1" customWidth="1"/>
  </cols>
  <sheetData>
    <row r="1" spans="1:14" ht="30" x14ac:dyDescent="0.25">
      <c r="A1" s="27" t="s">
        <v>82</v>
      </c>
      <c r="B1" s="27" t="s">
        <v>81</v>
      </c>
      <c r="C1" s="27" t="s">
        <v>19</v>
      </c>
      <c r="D1" s="27" t="s">
        <v>95</v>
      </c>
      <c r="E1" s="27" t="s">
        <v>110</v>
      </c>
      <c r="F1" s="27" t="s">
        <v>105</v>
      </c>
      <c r="G1" s="27" t="s">
        <v>103</v>
      </c>
      <c r="H1" s="27" t="s">
        <v>101</v>
      </c>
      <c r="I1" s="40" t="s">
        <v>109</v>
      </c>
      <c r="J1" s="27" t="s">
        <v>99</v>
      </c>
      <c r="K1" s="27" t="s">
        <v>97</v>
      </c>
      <c r="L1" s="27" t="s">
        <v>108</v>
      </c>
      <c r="M1" s="27" t="s">
        <v>107</v>
      </c>
      <c r="N1" s="27" t="s">
        <v>106</v>
      </c>
    </row>
    <row r="2" spans="1:14" x14ac:dyDescent="0.25">
      <c r="A2" s="7" t="s">
        <v>53</v>
      </c>
      <c r="B2" s="3" t="s">
        <v>16</v>
      </c>
      <c r="C2" s="3" t="s">
        <v>15</v>
      </c>
      <c r="D2" s="7" t="s">
        <v>88</v>
      </c>
      <c r="E2" s="3">
        <v>15000</v>
      </c>
      <c r="F2" s="36">
        <f t="shared" ref="F2:F11" si="0">E2*52%</f>
        <v>7800</v>
      </c>
      <c r="G2" s="39">
        <f t="shared" ref="G2:G11" si="1">IF(D2="A",E2*25%,IF(D2="B",E2*15%,E2*10%))</f>
        <v>3750</v>
      </c>
      <c r="H2" s="36">
        <f t="shared" ref="H2:H11" si="2">E2*8%</f>
        <v>1200</v>
      </c>
      <c r="I2" s="38">
        <f t="shared" ref="I2:I11" si="3">SUM(E2:H2)</f>
        <v>27750</v>
      </c>
      <c r="J2" s="37">
        <f t="shared" ref="J2:J11" si="4">E2*12.5%</f>
        <v>1875</v>
      </c>
      <c r="K2" s="36">
        <f t="shared" ref="K2:K11" si="5">IF(I2&lt;=10000,100,IF(AND(I2&gt;10000,I2&lt;20000),200,300))</f>
        <v>300</v>
      </c>
      <c r="L2" s="11">
        <v>500</v>
      </c>
      <c r="M2" s="35">
        <f t="shared" ref="M2:M11" si="6">SUM(J2:L2)</f>
        <v>2675</v>
      </c>
      <c r="N2" s="34">
        <f t="shared" ref="N2:N11" si="7">I2-M2</f>
        <v>25075</v>
      </c>
    </row>
    <row r="3" spans="1:14" x14ac:dyDescent="0.25">
      <c r="A3" s="7" t="s">
        <v>52</v>
      </c>
      <c r="B3" s="3" t="s">
        <v>80</v>
      </c>
      <c r="C3" s="3" t="s">
        <v>79</v>
      </c>
      <c r="D3" s="7" t="s">
        <v>85</v>
      </c>
      <c r="E3" s="3">
        <v>5888</v>
      </c>
      <c r="F3" s="36">
        <f t="shared" si="0"/>
        <v>3061.76</v>
      </c>
      <c r="G3" s="39">
        <f t="shared" si="1"/>
        <v>883.19999999999993</v>
      </c>
      <c r="H3" s="36">
        <f t="shared" si="2"/>
        <v>471.04</v>
      </c>
      <c r="I3" s="38">
        <f t="shared" si="3"/>
        <v>10304.000000000002</v>
      </c>
      <c r="J3" s="37">
        <f t="shared" si="4"/>
        <v>736</v>
      </c>
      <c r="K3" s="36">
        <f t="shared" si="5"/>
        <v>200</v>
      </c>
      <c r="L3" s="3">
        <v>200</v>
      </c>
      <c r="M3" s="35">
        <f t="shared" si="6"/>
        <v>1136</v>
      </c>
      <c r="N3" s="34">
        <f t="shared" si="7"/>
        <v>9168.0000000000018</v>
      </c>
    </row>
    <row r="4" spans="1:14" x14ac:dyDescent="0.25">
      <c r="A4" s="7" t="s">
        <v>51</v>
      </c>
      <c r="B4" s="3" t="s">
        <v>65</v>
      </c>
      <c r="C4" s="3" t="s">
        <v>78</v>
      </c>
      <c r="D4" s="7" t="s">
        <v>88</v>
      </c>
      <c r="E4" s="3">
        <v>8888</v>
      </c>
      <c r="F4" s="36">
        <f t="shared" si="0"/>
        <v>4621.76</v>
      </c>
      <c r="G4" s="39">
        <f t="shared" si="1"/>
        <v>2222</v>
      </c>
      <c r="H4" s="36">
        <f t="shared" si="2"/>
        <v>711.04</v>
      </c>
      <c r="I4" s="38">
        <f t="shared" si="3"/>
        <v>16442.8</v>
      </c>
      <c r="J4" s="37">
        <f t="shared" si="4"/>
        <v>1111</v>
      </c>
      <c r="K4" s="36">
        <f t="shared" si="5"/>
        <v>200</v>
      </c>
      <c r="L4" s="3">
        <v>3500</v>
      </c>
      <c r="M4" s="35">
        <f t="shared" si="6"/>
        <v>4811</v>
      </c>
      <c r="N4" s="34">
        <f t="shared" si="7"/>
        <v>11631.8</v>
      </c>
    </row>
    <row r="5" spans="1:14" x14ac:dyDescent="0.25">
      <c r="A5" s="7" t="s">
        <v>94</v>
      </c>
      <c r="B5" s="3" t="s">
        <v>24</v>
      </c>
      <c r="C5" s="3" t="s">
        <v>26</v>
      </c>
      <c r="D5" s="7" t="s">
        <v>88</v>
      </c>
      <c r="E5" s="3">
        <v>6500</v>
      </c>
      <c r="F5" s="36">
        <f t="shared" si="0"/>
        <v>3380</v>
      </c>
      <c r="G5" s="39">
        <f t="shared" si="1"/>
        <v>1625</v>
      </c>
      <c r="H5" s="36">
        <f t="shared" si="2"/>
        <v>520</v>
      </c>
      <c r="I5" s="38">
        <f t="shared" si="3"/>
        <v>12025</v>
      </c>
      <c r="J5" s="37">
        <f t="shared" si="4"/>
        <v>812.5</v>
      </c>
      <c r="K5" s="36">
        <f t="shared" si="5"/>
        <v>200</v>
      </c>
      <c r="L5" s="3">
        <v>2500</v>
      </c>
      <c r="M5" s="35">
        <f t="shared" si="6"/>
        <v>3512.5</v>
      </c>
      <c r="N5" s="34">
        <f t="shared" si="7"/>
        <v>8512.5</v>
      </c>
    </row>
    <row r="6" spans="1:14" x14ac:dyDescent="0.25">
      <c r="A6" s="7" t="s">
        <v>50</v>
      </c>
      <c r="B6" s="3" t="s">
        <v>93</v>
      </c>
      <c r="C6" s="3" t="s">
        <v>92</v>
      </c>
      <c r="D6" s="7" t="s">
        <v>83</v>
      </c>
      <c r="E6" s="3">
        <v>15000</v>
      </c>
      <c r="F6" s="36">
        <f t="shared" si="0"/>
        <v>7800</v>
      </c>
      <c r="G6" s="39">
        <f t="shared" si="1"/>
        <v>1500</v>
      </c>
      <c r="H6" s="36">
        <f t="shared" si="2"/>
        <v>1200</v>
      </c>
      <c r="I6" s="38">
        <f t="shared" si="3"/>
        <v>25500</v>
      </c>
      <c r="J6" s="37">
        <f t="shared" si="4"/>
        <v>1875</v>
      </c>
      <c r="K6" s="36">
        <f t="shared" si="5"/>
        <v>300</v>
      </c>
      <c r="L6" s="3">
        <v>2000</v>
      </c>
      <c r="M6" s="35">
        <f t="shared" si="6"/>
        <v>4175</v>
      </c>
      <c r="N6" s="34">
        <f t="shared" si="7"/>
        <v>21325</v>
      </c>
    </row>
    <row r="7" spans="1:14" x14ac:dyDescent="0.25">
      <c r="A7" s="7" t="s">
        <v>91</v>
      </c>
      <c r="B7" s="3" t="s">
        <v>22</v>
      </c>
      <c r="C7" s="3" t="s">
        <v>30</v>
      </c>
      <c r="D7" s="7" t="s">
        <v>83</v>
      </c>
      <c r="E7" s="3">
        <v>6500</v>
      </c>
      <c r="F7" s="36">
        <f t="shared" si="0"/>
        <v>3380</v>
      </c>
      <c r="G7" s="39">
        <f t="shared" si="1"/>
        <v>650</v>
      </c>
      <c r="H7" s="36">
        <f t="shared" si="2"/>
        <v>520</v>
      </c>
      <c r="I7" s="38">
        <f t="shared" si="3"/>
        <v>11050</v>
      </c>
      <c r="J7" s="37">
        <f t="shared" si="4"/>
        <v>812.5</v>
      </c>
      <c r="K7" s="36">
        <f t="shared" si="5"/>
        <v>200</v>
      </c>
      <c r="L7" s="3">
        <v>3200</v>
      </c>
      <c r="M7" s="35">
        <f t="shared" si="6"/>
        <v>4212.5</v>
      </c>
      <c r="N7" s="34">
        <f t="shared" si="7"/>
        <v>6837.5</v>
      </c>
    </row>
    <row r="8" spans="1:14" x14ac:dyDescent="0.25">
      <c r="A8" s="7" t="s">
        <v>49</v>
      </c>
      <c r="B8" s="3" t="s">
        <v>63</v>
      </c>
      <c r="C8" s="3" t="s">
        <v>26</v>
      </c>
      <c r="D8" s="7" t="s">
        <v>85</v>
      </c>
      <c r="E8" s="3">
        <v>3500</v>
      </c>
      <c r="F8" s="36">
        <f t="shared" si="0"/>
        <v>1820</v>
      </c>
      <c r="G8" s="39">
        <f t="shared" si="1"/>
        <v>525</v>
      </c>
      <c r="H8" s="36">
        <f t="shared" si="2"/>
        <v>280</v>
      </c>
      <c r="I8" s="38">
        <f t="shared" si="3"/>
        <v>6125</v>
      </c>
      <c r="J8" s="37">
        <f t="shared" si="4"/>
        <v>437.5</v>
      </c>
      <c r="K8" s="36">
        <f t="shared" si="5"/>
        <v>100</v>
      </c>
      <c r="L8" s="3">
        <v>1500</v>
      </c>
      <c r="M8" s="35">
        <f t="shared" si="6"/>
        <v>2037.5</v>
      </c>
      <c r="N8" s="34">
        <f t="shared" si="7"/>
        <v>4087.5</v>
      </c>
    </row>
    <row r="9" spans="1:14" x14ac:dyDescent="0.25">
      <c r="A9" s="7" t="s">
        <v>90</v>
      </c>
      <c r="B9" s="3" t="s">
        <v>89</v>
      </c>
      <c r="C9" s="3" t="s">
        <v>15</v>
      </c>
      <c r="D9" s="7" t="s">
        <v>88</v>
      </c>
      <c r="E9" s="3">
        <v>4500</v>
      </c>
      <c r="F9" s="36">
        <f t="shared" si="0"/>
        <v>2340</v>
      </c>
      <c r="G9" s="39">
        <f t="shared" si="1"/>
        <v>1125</v>
      </c>
      <c r="H9" s="36">
        <f t="shared" si="2"/>
        <v>360</v>
      </c>
      <c r="I9" s="38">
        <f t="shared" si="3"/>
        <v>8325</v>
      </c>
      <c r="J9" s="37">
        <f t="shared" si="4"/>
        <v>562.5</v>
      </c>
      <c r="K9" s="36">
        <f t="shared" si="5"/>
        <v>100</v>
      </c>
      <c r="L9" s="3">
        <v>800</v>
      </c>
      <c r="M9" s="35">
        <f t="shared" si="6"/>
        <v>1462.5</v>
      </c>
      <c r="N9" s="34">
        <f t="shared" si="7"/>
        <v>6862.5</v>
      </c>
    </row>
    <row r="10" spans="1:14" x14ac:dyDescent="0.25">
      <c r="A10" s="7" t="s">
        <v>48</v>
      </c>
      <c r="B10" s="3" t="s">
        <v>87</v>
      </c>
      <c r="C10" s="3" t="s">
        <v>86</v>
      </c>
      <c r="D10" s="7" t="s">
        <v>85</v>
      </c>
      <c r="E10" s="3">
        <v>7400</v>
      </c>
      <c r="F10" s="36">
        <f t="shared" si="0"/>
        <v>3848</v>
      </c>
      <c r="G10" s="39">
        <f t="shared" si="1"/>
        <v>1110</v>
      </c>
      <c r="H10" s="36">
        <f t="shared" si="2"/>
        <v>592</v>
      </c>
      <c r="I10" s="38">
        <f t="shared" si="3"/>
        <v>12950</v>
      </c>
      <c r="J10" s="37">
        <f t="shared" si="4"/>
        <v>925</v>
      </c>
      <c r="K10" s="36">
        <f t="shared" si="5"/>
        <v>200</v>
      </c>
      <c r="L10" s="3">
        <v>950</v>
      </c>
      <c r="M10" s="35">
        <f t="shared" si="6"/>
        <v>2075</v>
      </c>
      <c r="N10" s="34">
        <f t="shared" si="7"/>
        <v>10875</v>
      </c>
    </row>
    <row r="11" spans="1:14" x14ac:dyDescent="0.25">
      <c r="A11" s="7" t="s">
        <v>47</v>
      </c>
      <c r="B11" s="3" t="s">
        <v>66</v>
      </c>
      <c r="C11" s="3" t="s">
        <v>84</v>
      </c>
      <c r="D11" s="7" t="s">
        <v>83</v>
      </c>
      <c r="E11" s="3">
        <v>14200</v>
      </c>
      <c r="F11" s="36">
        <f t="shared" si="0"/>
        <v>7384</v>
      </c>
      <c r="G11" s="39">
        <f t="shared" si="1"/>
        <v>1420</v>
      </c>
      <c r="H11" s="36">
        <f t="shared" si="2"/>
        <v>1136</v>
      </c>
      <c r="I11" s="38">
        <f t="shared" si="3"/>
        <v>24140</v>
      </c>
      <c r="J11" s="37">
        <f t="shared" si="4"/>
        <v>1775</v>
      </c>
      <c r="K11" s="36">
        <f t="shared" si="5"/>
        <v>300</v>
      </c>
      <c r="L11" s="3">
        <v>1500</v>
      </c>
      <c r="M11" s="35">
        <f t="shared" si="6"/>
        <v>3575</v>
      </c>
      <c r="N11" s="34">
        <f t="shared" si="7"/>
        <v>20565</v>
      </c>
    </row>
    <row r="14" spans="1:14" x14ac:dyDescent="0.25">
      <c r="C14" s="31" t="s">
        <v>105</v>
      </c>
      <c r="D14" s="45" t="s">
        <v>104</v>
      </c>
      <c r="E14" s="45"/>
      <c r="F14" s="45"/>
      <c r="G14" s="45"/>
    </row>
    <row r="15" spans="1:14" ht="47.25" customHeight="1" x14ac:dyDescent="0.25">
      <c r="C15" s="31" t="s">
        <v>103</v>
      </c>
      <c r="D15" s="46" t="s">
        <v>102</v>
      </c>
      <c r="E15" s="46"/>
      <c r="F15" s="46"/>
      <c r="G15" s="46"/>
    </row>
    <row r="16" spans="1:14" x14ac:dyDescent="0.25">
      <c r="C16" s="31" t="s">
        <v>101</v>
      </c>
      <c r="D16" s="45" t="s">
        <v>100</v>
      </c>
      <c r="E16" s="45"/>
      <c r="F16" s="45"/>
      <c r="G16" s="45"/>
    </row>
    <row r="17" spans="3:7" x14ac:dyDescent="0.25">
      <c r="C17" s="33"/>
      <c r="D17" s="32"/>
    </row>
    <row r="18" spans="3:7" x14ac:dyDescent="0.25">
      <c r="C18" s="31" t="s">
        <v>99</v>
      </c>
      <c r="D18" s="45" t="s">
        <v>98</v>
      </c>
      <c r="E18" s="45"/>
      <c r="F18" s="45"/>
      <c r="G18" s="45"/>
    </row>
    <row r="19" spans="3:7" ht="50.25" customHeight="1" x14ac:dyDescent="0.25">
      <c r="C19" s="31" t="s">
        <v>97</v>
      </c>
      <c r="D19" s="46" t="s">
        <v>96</v>
      </c>
      <c r="E19" s="45"/>
      <c r="F19" s="45"/>
      <c r="G19" s="45"/>
    </row>
    <row r="33" spans="2:26" ht="45" x14ac:dyDescent="0.25">
      <c r="B33" s="30" t="s">
        <v>82</v>
      </c>
      <c r="C33" s="30" t="s">
        <v>81</v>
      </c>
      <c r="D33" s="30" t="s">
        <v>19</v>
      </c>
      <c r="E33" s="30" t="s">
        <v>95</v>
      </c>
    </row>
    <row r="34" spans="2:26" x14ac:dyDescent="0.25">
      <c r="B34" s="28" t="s">
        <v>53</v>
      </c>
      <c r="C34" s="29" t="s">
        <v>16</v>
      </c>
      <c r="D34" s="29" t="s">
        <v>15</v>
      </c>
      <c r="E34" s="28" t="s">
        <v>88</v>
      </c>
      <c r="Z34">
        <v>15</v>
      </c>
    </row>
    <row r="35" spans="2:26" x14ac:dyDescent="0.25">
      <c r="B35" s="28" t="s">
        <v>52</v>
      </c>
      <c r="C35" s="29" t="s">
        <v>80</v>
      </c>
      <c r="D35" s="29" t="s">
        <v>79</v>
      </c>
      <c r="E35" s="28" t="s">
        <v>85</v>
      </c>
    </row>
    <row r="36" spans="2:26" x14ac:dyDescent="0.25">
      <c r="B36" s="28" t="s">
        <v>51</v>
      </c>
      <c r="C36" s="29" t="s">
        <v>65</v>
      </c>
      <c r="D36" s="29" t="s">
        <v>78</v>
      </c>
      <c r="E36" s="28" t="s">
        <v>88</v>
      </c>
    </row>
    <row r="37" spans="2:26" x14ac:dyDescent="0.25">
      <c r="B37" s="28" t="s">
        <v>94</v>
      </c>
      <c r="C37" s="29" t="s">
        <v>24</v>
      </c>
      <c r="D37" s="29" t="s">
        <v>26</v>
      </c>
      <c r="E37" s="28" t="s">
        <v>88</v>
      </c>
    </row>
    <row r="38" spans="2:26" x14ac:dyDescent="0.25">
      <c r="B38" s="28" t="s">
        <v>50</v>
      </c>
      <c r="C38" s="29" t="s">
        <v>93</v>
      </c>
      <c r="D38" s="29" t="s">
        <v>92</v>
      </c>
      <c r="E38" s="28" t="s">
        <v>83</v>
      </c>
    </row>
    <row r="39" spans="2:26" x14ac:dyDescent="0.25">
      <c r="B39" s="28" t="s">
        <v>91</v>
      </c>
      <c r="C39" s="29" t="s">
        <v>22</v>
      </c>
      <c r="D39" s="29" t="s">
        <v>30</v>
      </c>
      <c r="E39" s="28" t="s">
        <v>83</v>
      </c>
    </row>
    <row r="40" spans="2:26" x14ac:dyDescent="0.25">
      <c r="B40" s="28" t="s">
        <v>49</v>
      </c>
      <c r="C40" s="29" t="s">
        <v>63</v>
      </c>
      <c r="D40" s="29" t="s">
        <v>26</v>
      </c>
      <c r="E40" s="28" t="s">
        <v>85</v>
      </c>
    </row>
    <row r="41" spans="2:26" x14ac:dyDescent="0.25">
      <c r="B41" s="28" t="s">
        <v>90</v>
      </c>
      <c r="C41" s="29" t="s">
        <v>89</v>
      </c>
      <c r="D41" s="29" t="s">
        <v>15</v>
      </c>
      <c r="E41" s="28" t="s">
        <v>88</v>
      </c>
    </row>
    <row r="42" spans="2:26" x14ac:dyDescent="0.25">
      <c r="B42" s="28" t="s">
        <v>48</v>
      </c>
      <c r="C42" s="29" t="s">
        <v>87</v>
      </c>
      <c r="D42" s="29" t="s">
        <v>86</v>
      </c>
      <c r="E42" s="28" t="s">
        <v>85</v>
      </c>
    </row>
    <row r="43" spans="2:26" x14ac:dyDescent="0.25">
      <c r="B43" s="28" t="s">
        <v>47</v>
      </c>
      <c r="C43" s="29" t="s">
        <v>66</v>
      </c>
      <c r="D43" s="29" t="s">
        <v>84</v>
      </c>
      <c r="E43" s="28" t="s">
        <v>83</v>
      </c>
    </row>
    <row r="97" spans="26:26" x14ac:dyDescent="0.25">
      <c r="Z97">
        <v>5</v>
      </c>
    </row>
    <row r="150" spans="25:25" x14ac:dyDescent="0.25">
      <c r="Y150">
        <v>5</v>
      </c>
    </row>
    <row r="167" spans="5:5" x14ac:dyDescent="0.25">
      <c r="E167">
        <v>5</v>
      </c>
    </row>
    <row r="500" spans="1:3" ht="30" x14ac:dyDescent="0.25">
      <c r="A500" s="27" t="s">
        <v>82</v>
      </c>
      <c r="B500" s="27" t="s">
        <v>81</v>
      </c>
      <c r="C500" s="27" t="s">
        <v>19</v>
      </c>
    </row>
    <row r="501" spans="1:3" x14ac:dyDescent="0.25">
      <c r="A501" s="7" t="s">
        <v>53</v>
      </c>
      <c r="B501" s="3" t="s">
        <v>16</v>
      </c>
      <c r="C501" s="3" t="s">
        <v>15</v>
      </c>
    </row>
    <row r="502" spans="1:3" x14ac:dyDescent="0.25">
      <c r="A502" s="7" t="s">
        <v>52</v>
      </c>
      <c r="B502" s="3" t="s">
        <v>80</v>
      </c>
      <c r="C502" s="3" t="s">
        <v>79</v>
      </c>
    </row>
    <row r="503" spans="1:3" x14ac:dyDescent="0.25">
      <c r="A503" s="7" t="s">
        <v>51</v>
      </c>
      <c r="B503" s="3" t="s">
        <v>65</v>
      </c>
      <c r="C503" s="3" t="s">
        <v>78</v>
      </c>
    </row>
  </sheetData>
  <mergeCells count="5">
    <mergeCell ref="D14:G14"/>
    <mergeCell ref="D15:G15"/>
    <mergeCell ref="D16:G16"/>
    <mergeCell ref="D18:G18"/>
    <mergeCell ref="D19:G19"/>
  </mergeCells>
  <printOptions horizontalCentered="1" headings="1" gridLines="1"/>
  <pageMargins left="0.7" right="0.7" top="0.75" bottom="0.75" header="0.3" footer="0.3"/>
  <pageSetup paperSize="9" orientation="portrait" verticalDpi="0" r:id="rId1"/>
  <headerFooter>
    <oddFooter>&amp;LABC COMPANY, BANGALORE&amp;C&amp;Z&amp;F\&amp;F&amp;R&amp;P OF &amp;N</oddFooter>
  </headerFooter>
  <cellWatches>
    <cellWatch r="I2"/>
    <cellWatch r="I3"/>
    <cellWatch r="I4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employee details</vt:lpstr>
      <vt:lpstr>Conditional formatting</vt:lpstr>
      <vt:lpstr>salary statement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2024-02-13T12:10:30Z</dcterms:created>
  <dcterms:modified xsi:type="dcterms:W3CDTF">2024-02-18T00:58:30Z</dcterms:modified>
</cp:coreProperties>
</file>