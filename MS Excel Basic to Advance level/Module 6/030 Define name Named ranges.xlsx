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3"/>
  </bookViews>
  <sheets>
    <sheet name="Define name" sheetId="1" r:id="rId1"/>
    <sheet name="Named ranges" sheetId="2" r:id="rId2"/>
    <sheet name="Sheet3" sheetId="3" r:id="rId3"/>
    <sheet name="Sheet4" sheetId="4" r:id="rId4"/>
    <sheet name="Sheet5" sheetId="5" r:id="rId5"/>
  </sheets>
  <definedNames>
    <definedName name="average_of_items" localSheetId="4">AVERAGE(Sheet5!$C$2:$C$6)</definedName>
    <definedName name="count_of_items">COUNT(Sheet5!$C$2:$C$6)</definedName>
    <definedName name="Designation">'Named ranges'!$D$2:$D$11</definedName>
    <definedName name="Emptable">Sheet4!$A$1:$D$11</definedName>
    <definedName name="GST_amount">'Define name'!$D$1</definedName>
    <definedName name="Salary">'Named ranges'!$B$2:$B$11</definedName>
    <definedName name="sum_of_items">SUM(Sheet5!$C$2:$C$6)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5" l="1"/>
  <c r="F16" i="1"/>
  <c r="H5" i="4"/>
  <c r="G9" i="5"/>
  <c r="G6" i="5"/>
  <c r="E10" i="5"/>
  <c r="C10" i="5"/>
  <c r="E9" i="5"/>
  <c r="C9" i="5"/>
  <c r="D2" i="3"/>
  <c r="I9" i="2"/>
  <c r="I6" i="2"/>
  <c r="D5" i="1"/>
  <c r="D6" i="1"/>
  <c r="D7" i="1"/>
  <c r="D8" i="1"/>
  <c r="D4" i="1"/>
  <c r="D18" i="2"/>
  <c r="D43" i="2"/>
  <c r="D42" i="2"/>
  <c r="B42" i="2"/>
  <c r="B41" i="2"/>
  <c r="B18" i="2"/>
  <c r="B17" i="2"/>
  <c r="B16" i="2"/>
  <c r="E14" i="2"/>
  <c r="B14" i="2"/>
  <c r="E13" i="2"/>
  <c r="B13" i="2"/>
  <c r="E4" i="1" l="1"/>
  <c r="E7" i="1"/>
  <c r="E8" i="1"/>
  <c r="E6" i="1"/>
  <c r="E5" i="1"/>
</calcChain>
</file>

<file path=xl/sharedStrings.xml><?xml version="1.0" encoding="utf-8"?>
<sst xmlns="http://schemas.openxmlformats.org/spreadsheetml/2006/main" count="136" uniqueCount="93">
  <si>
    <t>Tax</t>
  </si>
  <si>
    <t>SL NO</t>
  </si>
  <si>
    <t>Product Name</t>
  </si>
  <si>
    <t>Price</t>
  </si>
  <si>
    <t>Tax amount</t>
  </si>
  <si>
    <t>Total</t>
  </si>
  <si>
    <t>Nokia</t>
  </si>
  <si>
    <t>Samsung</t>
  </si>
  <si>
    <t>Micromax</t>
  </si>
  <si>
    <t>Lenova</t>
  </si>
  <si>
    <t>Motorola</t>
  </si>
  <si>
    <t>Emp Name</t>
  </si>
  <si>
    <t>Salary</t>
  </si>
  <si>
    <t>City</t>
  </si>
  <si>
    <t>Designation</t>
  </si>
  <si>
    <t>Naveen</t>
  </si>
  <si>
    <t>Mysore</t>
  </si>
  <si>
    <t>Clerk</t>
  </si>
  <si>
    <t>Vinay</t>
  </si>
  <si>
    <t>Bangalore</t>
  </si>
  <si>
    <t>Rajesh</t>
  </si>
  <si>
    <t>Manager</t>
  </si>
  <si>
    <t>Anand</t>
  </si>
  <si>
    <t>Mandya</t>
  </si>
  <si>
    <t>Accountant</t>
  </si>
  <si>
    <t>Mahendra</t>
  </si>
  <si>
    <t>Mangalore</t>
  </si>
  <si>
    <t>Trainer</t>
  </si>
  <si>
    <t>Kumar</t>
  </si>
  <si>
    <t>Daya</t>
  </si>
  <si>
    <t>Sanjana</t>
  </si>
  <si>
    <t>Pooja</t>
  </si>
  <si>
    <t>Mahesh</t>
  </si>
  <si>
    <t>Administrator</t>
  </si>
  <si>
    <t>Salary &gt;10000</t>
  </si>
  <si>
    <t>Salary Mysore</t>
  </si>
  <si>
    <t>Salary &gt;10000 count</t>
  </si>
  <si>
    <t>=COUNTIF(B2:B11,"&gt;10000")</t>
  </si>
  <si>
    <t>Salary Mysore count</t>
  </si>
  <si>
    <t>=COUNTIFS(C2:C11,"Mysore",D2:D11,"Manager")</t>
  </si>
  <si>
    <t>=COUNTIFS(B2:B11,"&gt;5000",B2:B11,"&lt;8000")</t>
  </si>
  <si>
    <t>Qty sold</t>
  </si>
  <si>
    <t>Godown</t>
  </si>
  <si>
    <t>Product A</t>
  </si>
  <si>
    <t>Product B</t>
  </si>
  <si>
    <t>Product C</t>
  </si>
  <si>
    <t>Product D</t>
  </si>
  <si>
    <t>=AVERAGE(B23:B26)</t>
  </si>
  <si>
    <t>=AVERAGEIF(B23:B26,"&gt;50",B23:B26)</t>
  </si>
  <si>
    <t>=AVERAGEIF(C23:C26,"Mysore",B23:B26)</t>
  </si>
  <si>
    <t>ab</t>
  </si>
  <si>
    <t>a</t>
  </si>
  <si>
    <t>d</t>
  </si>
  <si>
    <t>Employee ID</t>
  </si>
  <si>
    <t>name</t>
  </si>
  <si>
    <t>TYPE</t>
  </si>
  <si>
    <t>DEPARTMENT</t>
  </si>
  <si>
    <t>A001</t>
  </si>
  <si>
    <t>Vinaykumar</t>
  </si>
  <si>
    <t>Permanent</t>
  </si>
  <si>
    <t>A002</t>
  </si>
  <si>
    <t>Rajeev</t>
  </si>
  <si>
    <t>Temporary</t>
  </si>
  <si>
    <t>A004</t>
  </si>
  <si>
    <t>Sunitha</t>
  </si>
  <si>
    <t>A005</t>
  </si>
  <si>
    <t>Robert</t>
  </si>
  <si>
    <t>Contract</t>
  </si>
  <si>
    <t>A007</t>
  </si>
  <si>
    <t>A008</t>
  </si>
  <si>
    <t>Robin</t>
  </si>
  <si>
    <t>A010</t>
  </si>
  <si>
    <t>Vivek</t>
  </si>
  <si>
    <t>SALARY</t>
  </si>
  <si>
    <t>CITY</t>
  </si>
  <si>
    <t>Administration</t>
  </si>
  <si>
    <t>Mumbai</t>
  </si>
  <si>
    <t>Hyderabad</t>
  </si>
  <si>
    <t>Human Resource</t>
  </si>
  <si>
    <t>Kolkata</t>
  </si>
  <si>
    <t>A003</t>
  </si>
  <si>
    <t>Marketing</t>
  </si>
  <si>
    <t>Delhi</t>
  </si>
  <si>
    <t>A006</t>
  </si>
  <si>
    <t>Production</t>
  </si>
  <si>
    <t>Noida</t>
  </si>
  <si>
    <t>Quality</t>
  </si>
  <si>
    <t>Chennai</t>
  </si>
  <si>
    <t>Sales</t>
  </si>
  <si>
    <t>A009</t>
  </si>
  <si>
    <t>Vizag</t>
  </si>
  <si>
    <t>Training</t>
  </si>
  <si>
    <t>Ahmadabad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</si>
</sst>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46D0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0" fontId="1" fillId="0" borderId="1" xfId="0" applyNumberFormat="1" applyFont="1" applyBorder="1"/>
    <xf numFmtId="0" fontId="1" fillId="0" borderId="1" xfId="0" applyFont="1" applyBorder="1"/>
    <xf numFmtId="0" fontId="1" fillId="0" borderId="1" xfId="0" quotePrefix="1" applyFont="1" applyBorder="1"/>
    <xf numFmtId="2" fontId="1" fillId="0" borderId="1" xfId="0" applyNumberFormat="1" applyFont="1" applyBorder="1"/>
    <xf numFmtId="0" fontId="1" fillId="0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quotePrefix="1" applyFont="1"/>
    <xf numFmtId="0" fontId="0" fillId="0" borderId="0" xfId="0" quotePrefix="1"/>
    <xf numFmtId="0" fontId="2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2" fillId="3" borderId="3" xfId="0" applyFont="1" applyFill="1" applyBorder="1" applyAlignment="1">
      <alignment horizontal="center" vertical="top" wrapText="1"/>
    </xf>
    <xf numFmtId="0" fontId="3" fillId="0" borderId="3" xfId="0" applyFont="1" applyBorder="1"/>
    <xf numFmtId="0" fontId="2" fillId="3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10" zoomScale="160" zoomScaleNormal="160" workbookViewId="0">
      <selection activeCell="F17" sqref="F17"/>
    </sheetView>
  </sheetViews>
  <sheetFormatPr defaultRowHeight="15" x14ac:dyDescent="0.25"/>
  <cols>
    <col min="2" max="2" width="13.7109375" bestFit="1" customWidth="1"/>
    <col min="4" max="4" width="13" customWidth="1"/>
    <col min="5" max="5" width="10.140625" bestFit="1" customWidth="1"/>
  </cols>
  <sheetData>
    <row r="1" spans="1:6" x14ac:dyDescent="0.25">
      <c r="C1" s="1" t="s">
        <v>0</v>
      </c>
      <c r="D1" s="2">
        <v>0.18</v>
      </c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6" x14ac:dyDescent="0.25">
      <c r="A4" s="3">
        <v>1</v>
      </c>
      <c r="B4" s="3" t="s">
        <v>6</v>
      </c>
      <c r="C4" s="3">
        <v>4500</v>
      </c>
      <c r="D4" s="4">
        <f>C4*GST_amount</f>
        <v>810</v>
      </c>
      <c r="E4" s="5">
        <f>ROUND(C4+D4,0)</f>
        <v>5310</v>
      </c>
    </row>
    <row r="5" spans="1:6" x14ac:dyDescent="0.25">
      <c r="A5" s="3">
        <v>2</v>
      </c>
      <c r="B5" s="3" t="s">
        <v>7</v>
      </c>
      <c r="C5" s="3">
        <v>68500</v>
      </c>
      <c r="D5" s="4">
        <f>C5*GST_amount</f>
        <v>12330</v>
      </c>
      <c r="E5" s="5">
        <f t="shared" ref="E5:E8" si="0">ROUND(C5+D5,0)</f>
        <v>80830</v>
      </c>
    </row>
    <row r="6" spans="1:6" x14ac:dyDescent="0.25">
      <c r="A6" s="3">
        <v>3</v>
      </c>
      <c r="B6" s="3" t="s">
        <v>8</v>
      </c>
      <c r="C6" s="3">
        <v>4800</v>
      </c>
      <c r="D6" s="4">
        <f>C6*GST_amount</f>
        <v>864</v>
      </c>
      <c r="E6" s="5">
        <f t="shared" si="0"/>
        <v>5664</v>
      </c>
    </row>
    <row r="7" spans="1:6" x14ac:dyDescent="0.25">
      <c r="A7" s="3">
        <v>4</v>
      </c>
      <c r="B7" s="3" t="s">
        <v>9</v>
      </c>
      <c r="C7" s="3">
        <v>8450</v>
      </c>
      <c r="D7" s="4">
        <f>C7*GST_amount</f>
        <v>1521</v>
      </c>
      <c r="E7" s="5">
        <f t="shared" si="0"/>
        <v>9971</v>
      </c>
    </row>
    <row r="8" spans="1:6" x14ac:dyDescent="0.25">
      <c r="A8" s="6">
        <v>5</v>
      </c>
      <c r="B8" s="3" t="s">
        <v>10</v>
      </c>
      <c r="C8" s="3">
        <v>8450</v>
      </c>
      <c r="D8" s="4">
        <f>C8*GST_amount</f>
        <v>1521</v>
      </c>
      <c r="E8" s="5">
        <f t="shared" si="0"/>
        <v>9971</v>
      </c>
    </row>
    <row r="16" spans="1:6" x14ac:dyDescent="0.25">
      <c r="F16">
        <f>sum_of_items</f>
        <v>94700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115" zoomScaleNormal="115" workbookViewId="0">
      <selection activeCell="G30" sqref="G30"/>
    </sheetView>
  </sheetViews>
  <sheetFormatPr defaultRowHeight="15" x14ac:dyDescent="0.25"/>
  <cols>
    <col min="1" max="1" width="16.42578125" bestFit="1" customWidth="1"/>
    <col min="2" max="2" width="11.28515625" customWidth="1"/>
    <col min="3" max="3" width="11.7109375" customWidth="1"/>
    <col min="4" max="4" width="16.140625" customWidth="1"/>
    <col min="9" max="9" width="16" customWidth="1"/>
  </cols>
  <sheetData>
    <row r="1" spans="1:9" x14ac:dyDescent="0.25">
      <c r="A1" s="7" t="s">
        <v>11</v>
      </c>
      <c r="B1" s="7" t="s">
        <v>12</v>
      </c>
      <c r="C1" s="7" t="s">
        <v>13</v>
      </c>
      <c r="D1" s="7" t="s">
        <v>14</v>
      </c>
    </row>
    <row r="2" spans="1:9" x14ac:dyDescent="0.25">
      <c r="A2" s="3" t="s">
        <v>15</v>
      </c>
      <c r="B2" s="3">
        <v>5000</v>
      </c>
      <c r="C2" s="3" t="s">
        <v>16</v>
      </c>
      <c r="D2" s="1" t="s">
        <v>17</v>
      </c>
    </row>
    <row r="3" spans="1:9" x14ac:dyDescent="0.25">
      <c r="A3" s="3" t="s">
        <v>18</v>
      </c>
      <c r="B3" s="3">
        <v>3500</v>
      </c>
      <c r="C3" s="3" t="s">
        <v>19</v>
      </c>
      <c r="D3" s="1" t="s">
        <v>17</v>
      </c>
      <c r="E3">
        <v>7000</v>
      </c>
      <c r="F3">
        <v>1</v>
      </c>
      <c r="I3" s="1"/>
    </row>
    <row r="4" spans="1:9" x14ac:dyDescent="0.25">
      <c r="A4" s="3" t="s">
        <v>20</v>
      </c>
      <c r="B4" s="3">
        <v>7500</v>
      </c>
      <c r="C4" s="3" t="s">
        <v>16</v>
      </c>
      <c r="D4" s="1" t="s">
        <v>21</v>
      </c>
      <c r="E4">
        <v>7000</v>
      </c>
      <c r="F4">
        <v>2</v>
      </c>
      <c r="I4" s="1" t="s">
        <v>17</v>
      </c>
    </row>
    <row r="5" spans="1:9" x14ac:dyDescent="0.25">
      <c r="A5" s="3" t="s">
        <v>22</v>
      </c>
      <c r="B5" s="3">
        <v>6500</v>
      </c>
      <c r="C5" s="3" t="s">
        <v>23</v>
      </c>
      <c r="D5" s="1" t="s">
        <v>24</v>
      </c>
      <c r="E5">
        <v>5000</v>
      </c>
      <c r="F5">
        <v>3</v>
      </c>
    </row>
    <row r="6" spans="1:9" x14ac:dyDescent="0.25">
      <c r="A6" s="3" t="s">
        <v>25</v>
      </c>
      <c r="B6" s="3">
        <v>15000</v>
      </c>
      <c r="C6" s="3" t="s">
        <v>26</v>
      </c>
      <c r="D6" s="1" t="s">
        <v>27</v>
      </c>
      <c r="E6">
        <v>5000</v>
      </c>
      <c r="F6">
        <v>4</v>
      </c>
      <c r="I6">
        <f>SUMIF(D2:D11,I4,B2:B11)</f>
        <v>22400</v>
      </c>
    </row>
    <row r="7" spans="1:9" x14ac:dyDescent="0.25">
      <c r="A7" s="3" t="s">
        <v>28</v>
      </c>
      <c r="B7" s="3">
        <v>6500</v>
      </c>
      <c r="C7" s="3" t="s">
        <v>16</v>
      </c>
      <c r="D7" s="1" t="s">
        <v>17</v>
      </c>
      <c r="E7">
        <v>4500</v>
      </c>
      <c r="F7">
        <v>5</v>
      </c>
    </row>
    <row r="8" spans="1:9" x14ac:dyDescent="0.25">
      <c r="A8" s="3" t="s">
        <v>29</v>
      </c>
      <c r="B8" s="3">
        <v>3500</v>
      </c>
      <c r="C8" s="3" t="s">
        <v>19</v>
      </c>
      <c r="D8" s="1" t="s">
        <v>24</v>
      </c>
      <c r="E8">
        <v>4500</v>
      </c>
      <c r="F8">
        <v>6</v>
      </c>
    </row>
    <row r="9" spans="1:9" x14ac:dyDescent="0.25">
      <c r="A9" s="3" t="s">
        <v>30</v>
      </c>
      <c r="B9" s="3">
        <v>4500</v>
      </c>
      <c r="C9" s="3" t="s">
        <v>16</v>
      </c>
      <c r="D9" s="1" t="s">
        <v>21</v>
      </c>
      <c r="E9">
        <v>4500</v>
      </c>
      <c r="F9">
        <v>7</v>
      </c>
      <c r="I9">
        <f>SUMIF(Designation,I4,Salary)</f>
        <v>22400</v>
      </c>
    </row>
    <row r="10" spans="1:9" x14ac:dyDescent="0.25">
      <c r="A10" s="3" t="s">
        <v>31</v>
      </c>
      <c r="B10" s="3">
        <v>7400</v>
      </c>
      <c r="C10" s="3" t="s">
        <v>26</v>
      </c>
      <c r="D10" s="1" t="s">
        <v>17</v>
      </c>
      <c r="E10">
        <v>3600</v>
      </c>
      <c r="F10">
        <v>8</v>
      </c>
    </row>
    <row r="11" spans="1:9" x14ac:dyDescent="0.25">
      <c r="A11" s="3" t="s">
        <v>32</v>
      </c>
      <c r="B11" s="3">
        <v>14200</v>
      </c>
      <c r="C11" s="3" t="s">
        <v>23</v>
      </c>
      <c r="D11" s="1" t="s">
        <v>33</v>
      </c>
      <c r="E11">
        <v>3600</v>
      </c>
      <c r="F11">
        <v>9</v>
      </c>
    </row>
    <row r="13" spans="1:9" x14ac:dyDescent="0.25">
      <c r="B13" s="8">
        <f>LARGE(B2:B11,3)</f>
        <v>7500</v>
      </c>
      <c r="E13">
        <f>LARGE(E3:E11,3)</f>
        <v>5000</v>
      </c>
    </row>
    <row r="14" spans="1:9" x14ac:dyDescent="0.25">
      <c r="B14" s="8">
        <f>SMALL(B2:B11,4)</f>
        <v>5000</v>
      </c>
      <c r="E14">
        <f>SMALL(E3:E11,3)</f>
        <v>4500</v>
      </c>
    </row>
    <row r="16" spans="1:9" x14ac:dyDescent="0.25">
      <c r="A16" t="s">
        <v>34</v>
      </c>
      <c r="B16" s="8">
        <f>SUMIF(B2:B11,"&gt;=10000",B2:B11)</f>
        <v>29200</v>
      </c>
    </row>
    <row r="17" spans="1:4" x14ac:dyDescent="0.25">
      <c r="A17" t="s">
        <v>35</v>
      </c>
      <c r="B17" s="8">
        <f>SUMIF(C2:C11,"Mysore",B2:B11)</f>
        <v>23500</v>
      </c>
    </row>
    <row r="18" spans="1:4" x14ac:dyDescent="0.25">
      <c r="B18" s="8">
        <f>SUMIFS(B2:B11,C2:C11,"Mysore",D2:D11,"Clerk")</f>
        <v>11500</v>
      </c>
      <c r="D18" s="9">
        <f>COUNTIF(C2:C11,"Mysore")</f>
        <v>4</v>
      </c>
    </row>
    <row r="20" spans="1:4" x14ac:dyDescent="0.25">
      <c r="A20" t="s">
        <v>36</v>
      </c>
      <c r="B20" s="8" t="s">
        <v>37</v>
      </c>
    </row>
    <row r="21" spans="1:4" x14ac:dyDescent="0.25">
      <c r="A21" t="s">
        <v>38</v>
      </c>
      <c r="B21" s="8" t="s">
        <v>39</v>
      </c>
    </row>
    <row r="22" spans="1:4" x14ac:dyDescent="0.25">
      <c r="B22" s="8" t="s">
        <v>40</v>
      </c>
    </row>
    <row r="24" spans="1:4" x14ac:dyDescent="0.25">
      <c r="A24" s="1"/>
      <c r="B24" s="3" t="s">
        <v>41</v>
      </c>
      <c r="C24" t="s">
        <v>42</v>
      </c>
    </row>
    <row r="25" spans="1:4" x14ac:dyDescent="0.25">
      <c r="A25" s="1" t="s">
        <v>43</v>
      </c>
      <c r="B25" s="1">
        <v>65</v>
      </c>
      <c r="C25" t="s">
        <v>16</v>
      </c>
    </row>
    <row r="26" spans="1:4" x14ac:dyDescent="0.25">
      <c r="A26" s="1" t="s">
        <v>44</v>
      </c>
      <c r="B26" s="1">
        <v>45</v>
      </c>
      <c r="C26" t="s">
        <v>23</v>
      </c>
    </row>
    <row r="27" spans="1:4" x14ac:dyDescent="0.25">
      <c r="A27" s="1" t="s">
        <v>45</v>
      </c>
      <c r="B27" s="1">
        <v>36</v>
      </c>
      <c r="C27" t="s">
        <v>16</v>
      </c>
    </row>
    <row r="28" spans="1:4" x14ac:dyDescent="0.25">
      <c r="A28" s="1" t="s">
        <v>46</v>
      </c>
      <c r="B28" s="1">
        <v>74</v>
      </c>
      <c r="C28" t="s">
        <v>23</v>
      </c>
    </row>
    <row r="30" spans="1:4" x14ac:dyDescent="0.25">
      <c r="B30" s="8" t="s">
        <v>47</v>
      </c>
    </row>
    <row r="31" spans="1:4" x14ac:dyDescent="0.25">
      <c r="B31" s="9" t="s">
        <v>48</v>
      </c>
    </row>
    <row r="32" spans="1:4" x14ac:dyDescent="0.25">
      <c r="B32" s="9" t="s">
        <v>49</v>
      </c>
    </row>
    <row r="36" spans="2:4" x14ac:dyDescent="0.25">
      <c r="B36" s="1">
        <v>1</v>
      </c>
    </row>
    <row r="37" spans="2:4" x14ac:dyDescent="0.25">
      <c r="B37" s="1" t="s">
        <v>50</v>
      </c>
    </row>
    <row r="38" spans="2:4" x14ac:dyDescent="0.25">
      <c r="B38" s="1">
        <v>3</v>
      </c>
      <c r="D38" t="s">
        <v>51</v>
      </c>
    </row>
    <row r="39" spans="2:4" x14ac:dyDescent="0.25">
      <c r="B39" s="1">
        <v>4</v>
      </c>
      <c r="D39">
        <v>5</v>
      </c>
    </row>
    <row r="40" spans="2:4" x14ac:dyDescent="0.25">
      <c r="B40" s="1">
        <v>5</v>
      </c>
      <c r="D40">
        <v>6</v>
      </c>
    </row>
    <row r="41" spans="2:4" x14ac:dyDescent="0.25">
      <c r="B41" s="8">
        <f>COUNT(B35:B39)</f>
        <v>3</v>
      </c>
      <c r="D41" t="s">
        <v>52</v>
      </c>
    </row>
    <row r="42" spans="2:4" x14ac:dyDescent="0.25">
      <c r="B42" s="8">
        <f>COUNTA(B35:B39)</f>
        <v>4</v>
      </c>
      <c r="D42">
        <f>COUNTA(D38:D41)</f>
        <v>4</v>
      </c>
    </row>
    <row r="43" spans="2:4" x14ac:dyDescent="0.25">
      <c r="D43">
        <f>COUNT(D38:D41)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115" zoomScaleNormal="115" workbookViewId="0">
      <selection activeCell="H4" sqref="H4"/>
    </sheetView>
  </sheetViews>
  <sheetFormatPr defaultRowHeight="15" x14ac:dyDescent="0.25"/>
  <cols>
    <col min="2" max="2" width="14.7109375" customWidth="1"/>
    <col min="3" max="3" width="13.140625" customWidth="1"/>
    <col min="4" max="4" width="19.7109375" customWidth="1"/>
  </cols>
  <sheetData>
    <row r="1" spans="1:4" ht="24" x14ac:dyDescent="0.25">
      <c r="A1" s="10" t="s">
        <v>53</v>
      </c>
      <c r="B1" s="10" t="s">
        <v>54</v>
      </c>
      <c r="C1" s="14" t="s">
        <v>55</v>
      </c>
      <c r="D1" s="16" t="s">
        <v>56</v>
      </c>
    </row>
    <row r="2" spans="1:4" x14ac:dyDescent="0.25">
      <c r="A2" s="11" t="s">
        <v>57</v>
      </c>
      <c r="B2" s="12" t="s">
        <v>58</v>
      </c>
      <c r="C2" s="15" t="s">
        <v>59</v>
      </c>
      <c r="D2" s="1" t="str">
        <f>VLOOKUP(A2,Emptable,2,FALSE)</f>
        <v>Administration</v>
      </c>
    </row>
    <row r="3" spans="1:4" x14ac:dyDescent="0.25">
      <c r="A3" s="11" t="s">
        <v>60</v>
      </c>
      <c r="B3" s="12" t="s">
        <v>61</v>
      </c>
      <c r="C3" s="15" t="s">
        <v>62</v>
      </c>
      <c r="D3" s="1"/>
    </row>
    <row r="4" spans="1:4" x14ac:dyDescent="0.25">
      <c r="A4" s="11" t="s">
        <v>63</v>
      </c>
      <c r="B4" s="12" t="s">
        <v>64</v>
      </c>
      <c r="C4" s="15" t="s">
        <v>62</v>
      </c>
      <c r="D4" s="1"/>
    </row>
    <row r="5" spans="1:4" x14ac:dyDescent="0.25">
      <c r="A5" s="11" t="s">
        <v>65</v>
      </c>
      <c r="B5" s="12" t="s">
        <v>66</v>
      </c>
      <c r="C5" s="15" t="s">
        <v>67</v>
      </c>
      <c r="D5" s="1"/>
    </row>
    <row r="6" spans="1:4" x14ac:dyDescent="0.25">
      <c r="A6" s="11" t="s">
        <v>68</v>
      </c>
      <c r="B6" s="12" t="s">
        <v>32</v>
      </c>
      <c r="C6" s="15" t="s">
        <v>67</v>
      </c>
      <c r="D6" s="1"/>
    </row>
    <row r="7" spans="1:4" x14ac:dyDescent="0.25">
      <c r="A7" s="11" t="s">
        <v>69</v>
      </c>
      <c r="B7" s="12" t="s">
        <v>70</v>
      </c>
      <c r="C7" s="15" t="s">
        <v>62</v>
      </c>
      <c r="D7" s="1"/>
    </row>
    <row r="8" spans="1:4" x14ac:dyDescent="0.25">
      <c r="A8" s="11" t="s">
        <v>71</v>
      </c>
      <c r="B8" s="12" t="s">
        <v>72</v>
      </c>
      <c r="C8" s="15" t="s">
        <v>59</v>
      </c>
      <c r="D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30" zoomScaleNormal="130" workbookViewId="0">
      <selection activeCell="H7" sqref="H7"/>
    </sheetView>
  </sheetViews>
  <sheetFormatPr defaultRowHeight="15" x14ac:dyDescent="0.25"/>
  <cols>
    <col min="2" max="2" width="17" customWidth="1"/>
    <col min="3" max="3" width="11.5703125" customWidth="1"/>
    <col min="4" max="4" width="14.7109375" customWidth="1"/>
  </cols>
  <sheetData>
    <row r="1" spans="1:8" ht="24" x14ac:dyDescent="0.25">
      <c r="A1" s="10" t="s">
        <v>53</v>
      </c>
      <c r="B1" s="10" t="s">
        <v>56</v>
      </c>
      <c r="C1" s="10" t="s">
        <v>73</v>
      </c>
      <c r="D1" s="10" t="s">
        <v>74</v>
      </c>
    </row>
    <row r="2" spans="1:8" x14ac:dyDescent="0.25">
      <c r="A2" s="11" t="s">
        <v>57</v>
      </c>
      <c r="B2" s="13" t="s">
        <v>75</v>
      </c>
      <c r="C2" s="17">
        <v>5000</v>
      </c>
      <c r="D2" s="13" t="s">
        <v>76</v>
      </c>
    </row>
    <row r="3" spans="1:8" x14ac:dyDescent="0.25">
      <c r="A3" s="11" t="s">
        <v>69</v>
      </c>
      <c r="B3" s="13" t="s">
        <v>75</v>
      </c>
      <c r="C3" s="17">
        <v>6587</v>
      </c>
      <c r="D3" s="13" t="s">
        <v>77</v>
      </c>
    </row>
    <row r="4" spans="1:8" x14ac:dyDescent="0.25">
      <c r="A4" s="11" t="s">
        <v>63</v>
      </c>
      <c r="B4" s="13" t="s">
        <v>78</v>
      </c>
      <c r="C4" s="17">
        <v>6000</v>
      </c>
      <c r="D4" s="13" t="s">
        <v>79</v>
      </c>
    </row>
    <row r="5" spans="1:8" x14ac:dyDescent="0.25">
      <c r="A5" s="11" t="s">
        <v>80</v>
      </c>
      <c r="B5" s="13" t="s">
        <v>81</v>
      </c>
      <c r="C5" s="17">
        <v>7000</v>
      </c>
      <c r="D5" s="13" t="s">
        <v>82</v>
      </c>
      <c r="H5">
        <f>sum_of_items</f>
        <v>94700</v>
      </c>
    </row>
    <row r="6" spans="1:8" x14ac:dyDescent="0.25">
      <c r="A6" s="11" t="s">
        <v>71</v>
      </c>
      <c r="B6" s="13" t="s">
        <v>81</v>
      </c>
      <c r="C6" s="17">
        <v>6985</v>
      </c>
      <c r="D6" s="13" t="s">
        <v>19</v>
      </c>
    </row>
    <row r="7" spans="1:8" x14ac:dyDescent="0.25">
      <c r="A7" s="11" t="s">
        <v>83</v>
      </c>
      <c r="B7" s="13" t="s">
        <v>84</v>
      </c>
      <c r="C7" s="17">
        <v>9000</v>
      </c>
      <c r="D7" s="13" t="s">
        <v>85</v>
      </c>
    </row>
    <row r="8" spans="1:8" x14ac:dyDescent="0.25">
      <c r="A8" s="11" t="s">
        <v>68</v>
      </c>
      <c r="B8" s="13" t="s">
        <v>86</v>
      </c>
      <c r="C8" s="17">
        <v>3812</v>
      </c>
      <c r="D8" s="13" t="s">
        <v>87</v>
      </c>
    </row>
    <row r="9" spans="1:8" x14ac:dyDescent="0.25">
      <c r="A9" s="11" t="s">
        <v>60</v>
      </c>
      <c r="B9" s="13" t="s">
        <v>88</v>
      </c>
      <c r="C9" s="17">
        <v>6000</v>
      </c>
      <c r="D9" s="13" t="s">
        <v>87</v>
      </c>
    </row>
    <row r="10" spans="1:8" x14ac:dyDescent="0.25">
      <c r="A10" s="11" t="s">
        <v>89</v>
      </c>
      <c r="B10" s="13" t="s">
        <v>88</v>
      </c>
      <c r="C10" s="17">
        <v>7845</v>
      </c>
      <c r="D10" s="13" t="s">
        <v>90</v>
      </c>
    </row>
    <row r="11" spans="1:8" x14ac:dyDescent="0.25">
      <c r="A11" s="11" t="s">
        <v>65</v>
      </c>
      <c r="B11" s="13" t="s">
        <v>91</v>
      </c>
      <c r="C11" s="17">
        <v>8000</v>
      </c>
      <c r="D11" s="1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150" zoomScaleNormal="150" workbookViewId="0">
      <selection activeCell="I6" sqref="I6"/>
    </sheetView>
  </sheetViews>
  <sheetFormatPr defaultRowHeight="15" x14ac:dyDescent="0.25"/>
  <cols>
    <col min="2" max="2" width="13.7109375" bestFit="1" customWidth="1"/>
  </cols>
  <sheetData>
    <row r="1" spans="1:7" x14ac:dyDescent="0.25">
      <c r="A1" s="3" t="s">
        <v>1</v>
      </c>
      <c r="B1" s="3" t="s">
        <v>2</v>
      </c>
      <c r="C1" s="3" t="s">
        <v>3</v>
      </c>
    </row>
    <row r="2" spans="1:7" x14ac:dyDescent="0.25">
      <c r="A2" s="3">
        <v>1</v>
      </c>
      <c r="B2" s="3" t="s">
        <v>6</v>
      </c>
      <c r="C2" s="3">
        <v>4500</v>
      </c>
    </row>
    <row r="3" spans="1:7" x14ac:dyDescent="0.25">
      <c r="A3" s="3">
        <v>2</v>
      </c>
      <c r="B3" s="3" t="s">
        <v>7</v>
      </c>
      <c r="C3" s="3">
        <v>68500</v>
      </c>
    </row>
    <row r="4" spans="1:7" x14ac:dyDescent="0.25">
      <c r="A4" s="3">
        <v>3</v>
      </c>
      <c r="B4" s="3" t="s">
        <v>8</v>
      </c>
      <c r="C4" s="3">
        <v>4800</v>
      </c>
    </row>
    <row r="5" spans="1:7" x14ac:dyDescent="0.25">
      <c r="A5" s="3">
        <v>4</v>
      </c>
      <c r="B5" s="3" t="s">
        <v>9</v>
      </c>
      <c r="C5" s="3">
        <v>8450</v>
      </c>
    </row>
    <row r="6" spans="1:7" x14ac:dyDescent="0.25">
      <c r="A6" s="6">
        <v>5</v>
      </c>
      <c r="B6" s="3" t="s">
        <v>10</v>
      </c>
      <c r="C6" s="3">
        <v>8450</v>
      </c>
      <c r="G6">
        <f>sum_of_items</f>
        <v>94700</v>
      </c>
    </row>
    <row r="9" spans="1:7" x14ac:dyDescent="0.25">
      <c r="C9">
        <f>SUM(C2:C6)</f>
        <v>94700</v>
      </c>
      <c r="E9">
        <f>sum_of_items</f>
        <v>94700</v>
      </c>
      <c r="G9">
        <f>count_of_items</f>
        <v>5</v>
      </c>
    </row>
    <row r="10" spans="1:7" x14ac:dyDescent="0.25">
      <c r="C10">
        <f>COUNT(C2:C6)</f>
        <v>5</v>
      </c>
      <c r="E10">
        <f>count_of_items</f>
        <v>5</v>
      </c>
    </row>
    <row r="12" spans="1:7" x14ac:dyDescent="0.25">
      <c r="C12">
        <f>average_of_items</f>
        <v>18940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Define name</vt:lpstr>
      <vt:lpstr>Named ranges</vt:lpstr>
      <vt:lpstr>Sheet3</vt:lpstr>
      <vt:lpstr>Sheet4</vt:lpstr>
      <vt:lpstr>Sheet5</vt:lpstr>
      <vt:lpstr>Designation</vt:lpstr>
      <vt:lpstr>Emptable</vt:lpstr>
      <vt:lpstr>GST_amount</vt:lpstr>
      <vt:lpstr>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2024-02-04T03:38:27Z</dcterms:created>
  <dcterms:modified xsi:type="dcterms:W3CDTF">2024-02-04T09:34:02Z</dcterms:modified>
</cp:coreProperties>
</file>