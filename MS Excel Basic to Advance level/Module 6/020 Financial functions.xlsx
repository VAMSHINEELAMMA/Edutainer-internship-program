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Financial function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aaaaaa">#REF!</definedName>
    <definedName name="amarks">#REF!</definedName>
    <definedName name="cost">[2]Sheet22!$D$4</definedName>
    <definedName name="criteria1">'[3]Advance filter'!#REF!</definedName>
    <definedName name="Employee_ID">"sheet34!a1:a10"</definedName>
    <definedName name="etype">'[4]Data validation'!$G$29:$G$31</definedName>
    <definedName name="GST">'[5]Cell references'!$H$18</definedName>
    <definedName name="lap_price">'[6]Financial functions'!$B$114</definedName>
    <definedName name="lap_price2">#REF!</definedName>
    <definedName name="lap_qty">'[6]Financial functions'!$B$115</definedName>
    <definedName name="laptop_price">#REF!</definedName>
    <definedName name="Laptop_qty">#REF!</definedName>
    <definedName name="marks_list">'[7]Define name'!$G$10:$G$14</definedName>
    <definedName name="marks_list1">#REF!</definedName>
    <definedName name="mobileprice">'[8]relative cell reference'!#REF!</definedName>
    <definedName name="PF">[8]Sheet15!$B$3</definedName>
    <definedName name="Price">'[8]relative cell reference'!#REF!</definedName>
    <definedName name="qty">[2]Sheet22!$D$5</definedName>
    <definedName name="quantity">'[8]relative cell reference'!#REF!</definedName>
    <definedName name="salary">[2]Sheet22!$F$2:$F$6</definedName>
    <definedName name="salesvalue">[9]Sheet25!$E$3:$E$10</definedName>
    <definedName name="totaltax">'[8]relative cell reference'!#REF!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E7" i="1"/>
  <c r="F7" i="1"/>
  <c r="E8" i="1" s="1"/>
  <c r="J7" i="1"/>
  <c r="K7" i="1" s="1"/>
  <c r="E11" i="1"/>
  <c r="F11" i="1" s="1"/>
  <c r="B18" i="1"/>
  <c r="B28" i="1"/>
  <c r="B36" i="1"/>
  <c r="B39" i="1"/>
  <c r="B47" i="1"/>
  <c r="B66" i="1"/>
  <c r="B82" i="1"/>
  <c r="B100" i="1"/>
  <c r="J8" i="1" l="1"/>
  <c r="K8" i="1" s="1"/>
  <c r="F8" i="1"/>
  <c r="J9" i="1" l="1"/>
  <c r="K9" i="1" s="1"/>
  <c r="E9" i="1"/>
  <c r="E12" i="1" s="1"/>
  <c r="F12" i="1" s="1"/>
  <c r="F9" i="1"/>
  <c r="J10" i="1" l="1"/>
  <c r="K10" i="1"/>
  <c r="J11" i="1" l="1"/>
  <c r="K11" i="1"/>
  <c r="J12" i="1" l="1"/>
  <c r="K12" i="1"/>
</calcChain>
</file>

<file path=xl/sharedStrings.xml><?xml version="1.0" encoding="utf-8"?>
<sst xmlns="http://schemas.openxmlformats.org/spreadsheetml/2006/main" count="62" uniqueCount="35">
  <si>
    <t>SI</t>
  </si>
  <si>
    <t>Time</t>
  </si>
  <si>
    <t>Principal</t>
  </si>
  <si>
    <t>Rate</t>
  </si>
  <si>
    <t>=PMT(B84/12,B85,-B83)</t>
  </si>
  <si>
    <t>EMI</t>
  </si>
  <si>
    <t>Installments</t>
  </si>
  <si>
    <t>Rate of interest</t>
  </si>
  <si>
    <t>Loan amt</t>
  </si>
  <si>
    <t>Down payment</t>
  </si>
  <si>
    <t>Vehile value</t>
  </si>
  <si>
    <t>Interest rate</t>
  </si>
  <si>
    <t>Number of periods(Years)</t>
  </si>
  <si>
    <t>Present value</t>
  </si>
  <si>
    <t>Future value</t>
  </si>
  <si>
    <t>10-13-2015</t>
  </si>
  <si>
    <t>dd-mm-yyyy</t>
  </si>
  <si>
    <t>=C39-B36</t>
  </si>
  <si>
    <t>=B39*B38</t>
  </si>
  <si>
    <t>months</t>
  </si>
  <si>
    <t>PV</t>
  </si>
  <si>
    <t>FV</t>
  </si>
  <si>
    <t>NPER</t>
  </si>
  <si>
    <t>3y</t>
  </si>
  <si>
    <t>2y6m</t>
  </si>
  <si>
    <t>2y</t>
  </si>
  <si>
    <t>1y6m</t>
  </si>
  <si>
    <t>1y</t>
  </si>
  <si>
    <t>6m</t>
  </si>
  <si>
    <t>Interest</t>
  </si>
  <si>
    <t>Conv</t>
  </si>
  <si>
    <t>Year</t>
  </si>
  <si>
    <t>6 months</t>
  </si>
  <si>
    <t xml:space="preserve">CP </t>
  </si>
  <si>
    <t>Conversion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</si>
</sst>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&quot;Rs.&quot;\ #,##0.00"/>
    <numFmt numFmtId="165" formatCode="&quot;$&quot;#,##0.00_);[Red]\(&quot;$&quot;#,##0.00\)"/>
    <numFmt numFmtId="166" formatCode="&quot;₹&quot;\ #,##0.00"/>
    <numFmt numFmtId="167" formatCode="#,##0;[Red]#,##0"/>
    <numFmt numFmtId="168" formatCode="&quot;Rs.&quot;\ #,##0.00;[Red]&quot;Rs.&quot;\ \-#,##0.00"/>
    <numFmt numFmtId="169" formatCode="[$Rs.-4009]\ #,##0;[Red][$Rs.-4009]\ \-#,##0"/>
    <numFmt numFmtId="170" formatCode="[$₹-4009]\ #,##0.00"/>
    <numFmt numFmtId="171" formatCode="[$₹-4009]\ #,##0.00;[Red][$₹-4009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0" xfId="0" applyFont="1" applyBorder="1"/>
    <xf numFmtId="0" fontId="1" fillId="0" borderId="1" xfId="0" applyFont="1" applyBorder="1"/>
    <xf numFmtId="9" fontId="1" fillId="0" borderId="0" xfId="0" applyNumberFormat="1" applyFont="1" applyBorder="1"/>
    <xf numFmtId="9" fontId="1" fillId="0" borderId="1" xfId="0" applyNumberFormat="1" applyFont="1" applyBorder="1"/>
    <xf numFmtId="164" fontId="1" fillId="0" borderId="0" xfId="0" quotePrefix="1" applyNumberFormat="1" applyFont="1"/>
    <xf numFmtId="9" fontId="0" fillId="0" borderId="0" xfId="0" applyNumberFormat="1"/>
    <xf numFmtId="0" fontId="1" fillId="0" borderId="0" xfId="0" applyFont="1"/>
    <xf numFmtId="9" fontId="0" fillId="0" borderId="0" xfId="0" quotePrefix="1" applyNumberFormat="1"/>
    <xf numFmtId="9" fontId="0" fillId="0" borderId="1" xfId="0" quotePrefix="1" applyNumberFormat="1" applyBorder="1"/>
    <xf numFmtId="14" fontId="0" fillId="0" borderId="0" xfId="0" applyNumberFormat="1"/>
    <xf numFmtId="165" fontId="1" fillId="0" borderId="0" xfId="0" quotePrefix="1" applyNumberFormat="1" applyFont="1" applyBorder="1"/>
    <xf numFmtId="166" fontId="1" fillId="0" borderId="1" xfId="0" quotePrefix="1" applyNumberFormat="1" applyFont="1" applyBorder="1"/>
    <xf numFmtId="9" fontId="0" fillId="0" borderId="0" xfId="0" applyNumberFormat="1" applyBorder="1"/>
    <xf numFmtId="9" fontId="0" fillId="0" borderId="1" xfId="0" applyNumberFormat="1" applyBorder="1"/>
    <xf numFmtId="167" fontId="0" fillId="0" borderId="0" xfId="0" quotePrefix="1" applyNumberFormat="1"/>
    <xf numFmtId="168" fontId="0" fillId="0" borderId="0" xfId="0" quotePrefix="1" applyNumberFormat="1" applyFont="1"/>
    <xf numFmtId="164" fontId="0" fillId="0" borderId="0" xfId="0" quotePrefix="1" applyNumberFormat="1" applyFill="1" applyBorder="1"/>
    <xf numFmtId="164" fontId="0" fillId="2" borderId="1" xfId="0" quotePrefix="1" applyNumberFormat="1" applyFill="1" applyBorder="1"/>
    <xf numFmtId="0" fontId="0" fillId="2" borderId="1" xfId="0" applyFill="1" applyBorder="1"/>
    <xf numFmtId="0" fontId="0" fillId="0" borderId="0" xfId="0" applyFill="1" applyBorder="1"/>
    <xf numFmtId="9" fontId="0" fillId="0" borderId="0" xfId="0" applyNumberFormat="1" applyFill="1" applyBorder="1"/>
    <xf numFmtId="9" fontId="0" fillId="2" borderId="1" xfId="0" applyNumberFormat="1" applyFill="1" applyBorder="1"/>
    <xf numFmtId="165" fontId="0" fillId="0" borderId="0" xfId="0" applyNumberFormat="1"/>
    <xf numFmtId="0" fontId="1" fillId="0" borderId="0" xfId="0" quotePrefix="1" applyFont="1" applyFill="1" applyBorder="1"/>
    <xf numFmtId="0" fontId="1" fillId="2" borderId="1" xfId="0" quotePrefix="1" applyFont="1" applyFill="1" applyBorder="1"/>
    <xf numFmtId="0" fontId="0" fillId="0" borderId="0" xfId="0" quotePrefix="1"/>
    <xf numFmtId="169" fontId="1" fillId="0" borderId="0" xfId="0" quotePrefix="1" applyNumberFormat="1" applyFont="1" applyFill="1" applyBorder="1"/>
    <xf numFmtId="169" fontId="1" fillId="0" borderId="1" xfId="0" quotePrefix="1" applyNumberFormat="1" applyFont="1" applyFill="1" applyBorder="1"/>
    <xf numFmtId="170" fontId="0" fillId="0" borderId="0" xfId="0" applyNumberFormat="1"/>
    <xf numFmtId="168" fontId="0" fillId="0" borderId="0" xfId="0" quotePrefix="1" applyNumberFormat="1"/>
    <xf numFmtId="171" fontId="1" fillId="0" borderId="0" xfId="0" quotePrefix="1" applyNumberFormat="1" applyFont="1" applyBorder="1"/>
    <xf numFmtId="171" fontId="1" fillId="0" borderId="1" xfId="0" quotePrefix="1" applyNumberFormat="1" applyFont="1" applyBorder="1"/>
    <xf numFmtId="0" fontId="1" fillId="0" borderId="1" xfId="0" quotePrefix="1" applyFont="1" applyBorder="1"/>
    <xf numFmtId="0" fontId="0" fillId="0" borderId="1" xfId="0" quotePrefix="1" applyBorder="1"/>
    <xf numFmtId="0" fontId="0" fillId="0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0" fillId="3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enesis/Excel%20videos/sample0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Latha%20Blr/demo%20exce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ting"/>
      <sheetName val="Sheet2"/>
      <sheetName val="sumif"/>
      <sheetName val="Sheet4"/>
      <sheetName val="Sheet5"/>
      <sheetName val="Goal seek"/>
      <sheetName val="Scenario Summary"/>
      <sheetName val="Scenarios"/>
      <sheetName val="Sheet19"/>
      <sheetName val="Sheet9"/>
      <sheetName val="Sheet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Vlookup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00"/>
  <sheetViews>
    <sheetView tabSelected="1" zoomScale="145" zoomScaleNormal="145" workbookViewId="0"/>
  </sheetViews>
  <sheetFormatPr defaultRowHeight="15" x14ac:dyDescent="0.25"/>
  <cols>
    <col min="1" max="1" width="24.28515625" bestFit="1" customWidth="1"/>
    <col min="2" max="3" width="29" customWidth="1"/>
    <col min="4" max="4" width="19.140625" bestFit="1" customWidth="1"/>
    <col min="5" max="5" width="17.5703125" bestFit="1" customWidth="1"/>
    <col min="6" max="6" width="10.42578125" customWidth="1"/>
  </cols>
  <sheetData>
    <row r="2" spans="1:11" x14ac:dyDescent="0.25">
      <c r="B2" t="s">
        <v>0</v>
      </c>
      <c r="E2" t="s">
        <v>34</v>
      </c>
      <c r="I2" t="s">
        <v>33</v>
      </c>
      <c r="J2" t="s">
        <v>32</v>
      </c>
    </row>
    <row r="3" spans="1:11" x14ac:dyDescent="0.25">
      <c r="A3" s="2" t="s">
        <v>3</v>
      </c>
      <c r="B3" s="4">
        <v>2</v>
      </c>
      <c r="C3" s="3"/>
    </row>
    <row r="4" spans="1:11" x14ac:dyDescent="0.25">
      <c r="A4" s="2" t="s">
        <v>2</v>
      </c>
      <c r="B4" s="4">
        <v>10000</v>
      </c>
      <c r="C4" s="3"/>
      <c r="E4" t="s">
        <v>3</v>
      </c>
      <c r="F4" s="8">
        <v>0.08</v>
      </c>
      <c r="J4" t="s">
        <v>3</v>
      </c>
      <c r="K4" s="8">
        <v>0.08</v>
      </c>
    </row>
    <row r="5" spans="1:11" x14ac:dyDescent="0.25">
      <c r="A5" s="2" t="s">
        <v>1</v>
      </c>
      <c r="B5" s="4">
        <v>5</v>
      </c>
      <c r="D5" s="40" t="s">
        <v>31</v>
      </c>
      <c r="E5" s="38" t="s">
        <v>29</v>
      </c>
      <c r="F5" s="38" t="s">
        <v>2</v>
      </c>
      <c r="H5" t="s">
        <v>31</v>
      </c>
      <c r="I5" s="39" t="s">
        <v>30</v>
      </c>
      <c r="J5" s="38" t="s">
        <v>29</v>
      </c>
      <c r="K5" s="38" t="s">
        <v>2</v>
      </c>
    </row>
    <row r="6" spans="1:11" x14ac:dyDescent="0.25">
      <c r="A6" s="2"/>
      <c r="B6" s="2"/>
      <c r="D6" s="2">
        <v>0</v>
      </c>
      <c r="E6" s="2"/>
      <c r="F6" s="4">
        <v>10000</v>
      </c>
      <c r="I6" s="2">
        <v>0</v>
      </c>
      <c r="J6" s="2"/>
      <c r="K6" s="4">
        <v>10000</v>
      </c>
    </row>
    <row r="7" spans="1:11" x14ac:dyDescent="0.25">
      <c r="A7" s="2" t="s">
        <v>0</v>
      </c>
      <c r="B7" s="4">
        <f>B4*B5*B3/100</f>
        <v>1000</v>
      </c>
      <c r="D7" s="2">
        <v>1</v>
      </c>
      <c r="E7" s="36">
        <f>F6*1*$F$4</f>
        <v>800</v>
      </c>
      <c r="F7" s="35">
        <f>F6+E7</f>
        <v>10800</v>
      </c>
      <c r="H7" t="s">
        <v>28</v>
      </c>
      <c r="I7" s="2">
        <v>1</v>
      </c>
      <c r="J7" s="36">
        <f>K6*1*$F$4/2</f>
        <v>400</v>
      </c>
      <c r="K7" s="35">
        <f>K6+J7</f>
        <v>10400</v>
      </c>
    </row>
    <row r="8" spans="1:11" x14ac:dyDescent="0.25">
      <c r="D8" s="2">
        <v>2</v>
      </c>
      <c r="E8" s="36">
        <f>F7*1*$F$4</f>
        <v>864</v>
      </c>
      <c r="F8" s="35">
        <f>F7+E8</f>
        <v>11664</v>
      </c>
      <c r="H8" t="s">
        <v>27</v>
      </c>
      <c r="I8" s="2">
        <v>2</v>
      </c>
      <c r="J8" s="36">
        <f>K7*1*$F$4/2</f>
        <v>416</v>
      </c>
      <c r="K8" s="35">
        <f>K7+J8</f>
        <v>10816</v>
      </c>
    </row>
    <row r="9" spans="1:11" x14ac:dyDescent="0.25">
      <c r="D9" s="2">
        <v>3</v>
      </c>
      <c r="E9" s="36">
        <f>F8*1*$F$4</f>
        <v>933.12</v>
      </c>
      <c r="F9" s="35">
        <f>F8+E9</f>
        <v>12597.12</v>
      </c>
      <c r="H9" t="s">
        <v>26</v>
      </c>
      <c r="I9" s="2">
        <v>3</v>
      </c>
      <c r="J9" s="36">
        <f>K8*1*$F$4/2</f>
        <v>432.64</v>
      </c>
      <c r="K9" s="35">
        <f>K8+J9</f>
        <v>11248.64</v>
      </c>
    </row>
    <row r="10" spans="1:11" x14ac:dyDescent="0.25">
      <c r="H10" t="s">
        <v>25</v>
      </c>
      <c r="I10" s="37">
        <v>4</v>
      </c>
      <c r="J10" s="36">
        <f>K9*1*$F$4/2</f>
        <v>449.94560000000001</v>
      </c>
      <c r="K10" s="35">
        <f>K9+J10</f>
        <v>11698.585599999999</v>
      </c>
    </row>
    <row r="11" spans="1:11" x14ac:dyDescent="0.25">
      <c r="D11">
        <v>10000</v>
      </c>
      <c r="E11" s="9">
        <f>F6*F4*3</f>
        <v>2400</v>
      </c>
      <c r="F11" s="9">
        <f>D11+E11</f>
        <v>12400</v>
      </c>
      <c r="H11" t="s">
        <v>24</v>
      </c>
      <c r="I11" s="37">
        <v>5</v>
      </c>
      <c r="J11" s="36">
        <f>K10*1*$F$4/2</f>
        <v>467.94342399999994</v>
      </c>
      <c r="K11" s="35">
        <f>K10+J11</f>
        <v>12166.529023999998</v>
      </c>
    </row>
    <row r="12" spans="1:11" x14ac:dyDescent="0.25">
      <c r="D12">
        <v>10000</v>
      </c>
      <c r="E12" s="9">
        <f>SUM(E7:E9)</f>
        <v>2597.12</v>
      </c>
      <c r="F12" s="9">
        <f>D12+E12</f>
        <v>12597.119999999999</v>
      </c>
      <c r="H12" t="s">
        <v>23</v>
      </c>
      <c r="I12" s="37">
        <v>6</v>
      </c>
      <c r="J12" s="36">
        <f>K11*1*$F$4/2</f>
        <v>486.6611609599999</v>
      </c>
      <c r="K12" s="35">
        <f>K11+J12</f>
        <v>12653.190184959998</v>
      </c>
    </row>
    <row r="13" spans="1:11" x14ac:dyDescent="0.25">
      <c r="A13" s="9"/>
    </row>
    <row r="14" spans="1:11" x14ac:dyDescent="0.25">
      <c r="A14" s="2" t="s">
        <v>20</v>
      </c>
      <c r="B14" s="2">
        <v>15000</v>
      </c>
      <c r="C14" s="1"/>
    </row>
    <row r="15" spans="1:11" x14ac:dyDescent="0.25">
      <c r="A15" s="2" t="s">
        <v>3</v>
      </c>
      <c r="B15" s="16">
        <v>0.08</v>
      </c>
      <c r="C15" s="15"/>
    </row>
    <row r="16" spans="1:11" x14ac:dyDescent="0.25">
      <c r="A16" s="2" t="s">
        <v>22</v>
      </c>
      <c r="B16" s="2">
        <v>3</v>
      </c>
      <c r="C16" s="1"/>
    </row>
    <row r="17" spans="1:6" x14ac:dyDescent="0.25">
      <c r="A17" s="2"/>
      <c r="B17" s="2"/>
      <c r="C17" s="1"/>
    </row>
    <row r="18" spans="1:6" x14ac:dyDescent="0.25">
      <c r="A18" s="2" t="s">
        <v>21</v>
      </c>
      <c r="B18" s="34">
        <f>FV(B15,B16,,-B14)</f>
        <v>18895.680000000004</v>
      </c>
      <c r="C18" s="33"/>
      <c r="E18" s="31"/>
    </row>
    <row r="19" spans="1:6" x14ac:dyDescent="0.25">
      <c r="E19" s="31"/>
    </row>
    <row r="20" spans="1:6" x14ac:dyDescent="0.25">
      <c r="B20" s="32"/>
      <c r="C20" s="32"/>
      <c r="E20" s="31"/>
    </row>
    <row r="21" spans="1:6" x14ac:dyDescent="0.25">
      <c r="E21" s="31"/>
    </row>
    <row r="22" spans="1:6" x14ac:dyDescent="0.25">
      <c r="E22" s="31"/>
      <c r="F22" s="31"/>
    </row>
    <row r="23" spans="1:6" x14ac:dyDescent="0.25">
      <c r="E23" s="31"/>
    </row>
    <row r="25" spans="1:6" x14ac:dyDescent="0.25">
      <c r="A25" t="s">
        <v>14</v>
      </c>
      <c r="B25">
        <v>100000</v>
      </c>
    </row>
    <row r="26" spans="1:6" x14ac:dyDescent="0.25">
      <c r="A26" t="s">
        <v>12</v>
      </c>
      <c r="B26">
        <v>15</v>
      </c>
    </row>
    <row r="27" spans="1:6" x14ac:dyDescent="0.25">
      <c r="A27" t="s">
        <v>11</v>
      </c>
      <c r="B27" s="8">
        <v>0.08</v>
      </c>
      <c r="C27" s="8"/>
    </row>
    <row r="28" spans="1:6" x14ac:dyDescent="0.25">
      <c r="A28" t="s">
        <v>13</v>
      </c>
      <c r="B28" s="30">
        <f>PV(B27,B26,,-B25)</f>
        <v>31524.170496588995</v>
      </c>
      <c r="C28" s="29"/>
    </row>
    <row r="30" spans="1:6" x14ac:dyDescent="0.25">
      <c r="B30" s="28"/>
      <c r="C30" s="28"/>
    </row>
    <row r="31" spans="1:6" x14ac:dyDescent="0.25">
      <c r="B31" s="10"/>
      <c r="C31" s="10"/>
    </row>
    <row r="33" spans="1:5" x14ac:dyDescent="0.25">
      <c r="A33" s="2"/>
      <c r="B33" s="2"/>
      <c r="C33" s="1"/>
    </row>
    <row r="34" spans="1:5" x14ac:dyDescent="0.25">
      <c r="A34" s="21" t="s">
        <v>10</v>
      </c>
      <c r="B34" s="21">
        <v>75000</v>
      </c>
      <c r="C34" s="22"/>
    </row>
    <row r="35" spans="1:5" x14ac:dyDescent="0.25">
      <c r="A35" s="21" t="s">
        <v>9</v>
      </c>
      <c r="B35" s="21">
        <v>25000</v>
      </c>
      <c r="C35" s="22"/>
    </row>
    <row r="36" spans="1:5" x14ac:dyDescent="0.25">
      <c r="A36" s="21" t="s">
        <v>8</v>
      </c>
      <c r="B36" s="27">
        <f>B34-B35</f>
        <v>50000</v>
      </c>
      <c r="C36" s="26"/>
      <c r="D36" t="s">
        <v>20</v>
      </c>
      <c r="E36" s="25"/>
    </row>
    <row r="37" spans="1:5" x14ac:dyDescent="0.25">
      <c r="A37" s="21" t="s">
        <v>7</v>
      </c>
      <c r="B37" s="24">
        <v>0.08</v>
      </c>
      <c r="C37" s="23"/>
    </row>
    <row r="38" spans="1:5" x14ac:dyDescent="0.25">
      <c r="A38" s="21" t="s">
        <v>6</v>
      </c>
      <c r="B38" s="21">
        <v>12</v>
      </c>
      <c r="C38" s="22"/>
      <c r="D38" t="s">
        <v>19</v>
      </c>
    </row>
    <row r="39" spans="1:5" x14ac:dyDescent="0.25">
      <c r="A39" s="21" t="s">
        <v>5</v>
      </c>
      <c r="B39" s="20">
        <f>PMT(B37/12,B38,B36,0)</f>
        <v>-4349.4214542710533</v>
      </c>
      <c r="C39" s="19"/>
      <c r="D39" s="18" t="s">
        <v>18</v>
      </c>
    </row>
    <row r="40" spans="1:5" x14ac:dyDescent="0.25">
      <c r="D40" s="17" t="s">
        <v>17</v>
      </c>
    </row>
    <row r="44" spans="1:5" x14ac:dyDescent="0.25">
      <c r="A44" s="2" t="s">
        <v>13</v>
      </c>
      <c r="B44" s="2">
        <v>10000</v>
      </c>
      <c r="C44" s="1"/>
    </row>
    <row r="45" spans="1:5" x14ac:dyDescent="0.25">
      <c r="A45" s="2" t="s">
        <v>11</v>
      </c>
      <c r="B45" s="16">
        <v>0.08</v>
      </c>
      <c r="C45" s="15"/>
    </row>
    <row r="46" spans="1:5" x14ac:dyDescent="0.25">
      <c r="A46" s="2" t="s">
        <v>14</v>
      </c>
      <c r="B46" s="14">
        <v>12597.12</v>
      </c>
      <c r="C46" s="13"/>
    </row>
    <row r="47" spans="1:5" x14ac:dyDescent="0.25">
      <c r="A47" s="2" t="s">
        <v>12</v>
      </c>
      <c r="B47" s="2">
        <f>NPER(B45,,B44,-B46)</f>
        <v>2.9999999999999991</v>
      </c>
      <c r="C47" s="1"/>
    </row>
    <row r="53" spans="1:4" x14ac:dyDescent="0.25">
      <c r="B53" t="s">
        <v>16</v>
      </c>
      <c r="D53" s="12"/>
    </row>
    <row r="54" spans="1:4" x14ac:dyDescent="0.25">
      <c r="B54" s="12">
        <v>42290</v>
      </c>
      <c r="C54" s="12"/>
      <c r="D54" t="s">
        <v>15</v>
      </c>
    </row>
    <row r="55" spans="1:4" x14ac:dyDescent="0.25">
      <c r="B55" s="12">
        <v>42353</v>
      </c>
      <c r="C55" s="12"/>
    </row>
    <row r="63" spans="1:4" x14ac:dyDescent="0.25">
      <c r="A63" s="2" t="s">
        <v>14</v>
      </c>
      <c r="B63" s="2">
        <v>100000</v>
      </c>
    </row>
    <row r="64" spans="1:4" x14ac:dyDescent="0.25">
      <c r="A64" s="2" t="s">
        <v>13</v>
      </c>
      <c r="B64" s="2">
        <v>25024</v>
      </c>
    </row>
    <row r="65" spans="1:3" x14ac:dyDescent="0.25">
      <c r="A65" s="2" t="s">
        <v>12</v>
      </c>
      <c r="B65" s="2">
        <v>18</v>
      </c>
    </row>
    <row r="66" spans="1:3" x14ac:dyDescent="0.25">
      <c r="A66" s="2" t="s">
        <v>11</v>
      </c>
      <c r="B66" s="11">
        <f>RATE(B65,,B64,-B63)</f>
        <v>8.0002164872662554E-2</v>
      </c>
      <c r="C66" s="10"/>
    </row>
    <row r="79" spans="1:3" x14ac:dyDescent="0.25">
      <c r="A79" s="9"/>
    </row>
    <row r="80" spans="1:3" x14ac:dyDescent="0.25">
      <c r="A80" t="s">
        <v>10</v>
      </c>
      <c r="B80" s="9">
        <v>75000</v>
      </c>
      <c r="C80" s="9"/>
    </row>
    <row r="81" spans="1:3" x14ac:dyDescent="0.25">
      <c r="A81" t="s">
        <v>9</v>
      </c>
      <c r="B81">
        <v>25000</v>
      </c>
    </row>
    <row r="82" spans="1:3" x14ac:dyDescent="0.25">
      <c r="A82" t="s">
        <v>8</v>
      </c>
      <c r="B82" s="9">
        <f>B80-B81</f>
        <v>50000</v>
      </c>
      <c r="C82" s="9"/>
    </row>
    <row r="83" spans="1:3" x14ac:dyDescent="0.25">
      <c r="A83" t="s">
        <v>7</v>
      </c>
      <c r="B83" s="8">
        <v>0.1</v>
      </c>
      <c r="C83" s="8"/>
    </row>
    <row r="84" spans="1:3" x14ac:dyDescent="0.25">
      <c r="A84" t="s">
        <v>6</v>
      </c>
      <c r="B84">
        <v>36</v>
      </c>
    </row>
    <row r="85" spans="1:3" x14ac:dyDescent="0.25">
      <c r="A85" t="s">
        <v>5</v>
      </c>
      <c r="B85" s="7" t="s">
        <v>4</v>
      </c>
      <c r="C85" s="7"/>
    </row>
    <row r="96" spans="1:3" x14ac:dyDescent="0.25">
      <c r="A96" s="2" t="s">
        <v>3</v>
      </c>
      <c r="B96" s="6">
        <v>0.02</v>
      </c>
      <c r="C96" s="5"/>
    </row>
    <row r="97" spans="1:3" x14ac:dyDescent="0.25">
      <c r="A97" s="2" t="s">
        <v>2</v>
      </c>
      <c r="B97" s="4">
        <v>10000</v>
      </c>
      <c r="C97" s="3"/>
    </row>
    <row r="98" spans="1:3" x14ac:dyDescent="0.25">
      <c r="A98" s="2" t="s">
        <v>1</v>
      </c>
      <c r="B98" s="4">
        <v>5</v>
      </c>
      <c r="C98" s="3"/>
    </row>
    <row r="99" spans="1:3" x14ac:dyDescent="0.25">
      <c r="A99" s="2"/>
      <c r="B99" s="2"/>
      <c r="C99" s="1"/>
    </row>
    <row r="100" spans="1:3" x14ac:dyDescent="0.25">
      <c r="A100" s="2" t="s">
        <v>0</v>
      </c>
      <c r="B100" s="2">
        <f>B97*B98*B96</f>
        <v>1000</v>
      </c>
      <c r="C100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functions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2024-01-30T15:39:12Z</dcterms:created>
  <dcterms:modified xsi:type="dcterms:W3CDTF">2024-01-30T15:40:01Z</dcterms:modified>
</cp:coreProperties>
</file>