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ubtot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aaaaa">#REF!</definedName>
    <definedName name="amarks">#REF!</definedName>
    <definedName name="cost">[2]Sheet22!$D$4</definedName>
    <definedName name="criteria1">'[3]Advance filter'!#REF!</definedName>
    <definedName name="Employee_ID">"sheet34!a1:a10"</definedName>
    <definedName name="etype">'[4]Data validation'!$G$29:$G$31</definedName>
    <definedName name="GST">'[5]Cell references'!$H$18</definedName>
    <definedName name="lap_price">'[6]Financial functions'!$B$114</definedName>
    <definedName name="lap_price2">#REF!</definedName>
    <definedName name="lap_qty">'[6]Financial functions'!$B$115</definedName>
    <definedName name="laptop_price">#REF!</definedName>
    <definedName name="Laptop_qty">#REF!</definedName>
    <definedName name="marks_list">'[7]Define name'!$G$10:$G$14</definedName>
    <definedName name="marks_list1">#REF!</definedName>
    <definedName name="mobileprice">'[8]relative cell reference'!#REF!</definedName>
    <definedName name="PF">[8]Sheet15!$B$3</definedName>
    <definedName name="Price">'[8]relative cell reference'!#REF!</definedName>
    <definedName name="qty">[2]Sheet22!$D$5</definedName>
    <definedName name="quantity">'[8]relative cell reference'!#REF!</definedName>
    <definedName name="salary">[2]Sheet22!$F$2:$F$6</definedName>
    <definedName name="salesvalue">[9]Sheet25!$E$3:$E$10</definedName>
    <definedName name="totaltax">'[8]relative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0" i="1" l="1"/>
  <c r="E51" i="1"/>
  <c r="E45" i="1"/>
  <c r="E61" i="1" s="1"/>
  <c r="E28" i="1"/>
  <c r="E25" i="1"/>
  <c r="E20" i="1"/>
  <c r="E16" i="1"/>
  <c r="E13" i="1"/>
  <c r="E9" i="1"/>
  <c r="E6" i="1"/>
  <c r="E29" i="1" s="1"/>
</calcChain>
</file>

<file path=xl/sharedStrings.xml><?xml version="1.0" encoding="utf-8"?>
<sst xmlns="http://schemas.openxmlformats.org/spreadsheetml/2006/main" count="224" uniqueCount="76">
  <si>
    <t>Employee ID</t>
  </si>
  <si>
    <t>Name</t>
  </si>
  <si>
    <t>TYPE</t>
  </si>
  <si>
    <t>DEPARTMENT</t>
  </si>
  <si>
    <t>SALARY</t>
  </si>
  <si>
    <t>CITY</t>
  </si>
  <si>
    <t>A019</t>
  </si>
  <si>
    <t>Jaganath</t>
  </si>
  <si>
    <t>Contract</t>
  </si>
  <si>
    <t>Administration</t>
  </si>
  <si>
    <t>Delhi</t>
  </si>
  <si>
    <t>A008</t>
  </si>
  <si>
    <t>Robin</t>
  </si>
  <si>
    <t>Temporary</t>
  </si>
  <si>
    <t>Hyderabad</t>
  </si>
  <si>
    <t>A001</t>
  </si>
  <si>
    <t>Vinaykumar</t>
  </si>
  <si>
    <t>Permanent</t>
  </si>
  <si>
    <t>Mumbai</t>
  </si>
  <si>
    <t>A013</t>
  </si>
  <si>
    <t>Lokesh</t>
  </si>
  <si>
    <t>Noida</t>
  </si>
  <si>
    <t>Administration Total</t>
  </si>
  <si>
    <t>A016</t>
  </si>
  <si>
    <t>Chethan</t>
  </si>
  <si>
    <t>Human Resource</t>
  </si>
  <si>
    <t>A004</t>
  </si>
  <si>
    <t>Sunitha</t>
  </si>
  <si>
    <t>Kolkata</t>
  </si>
  <si>
    <t>Human Resource Total</t>
  </si>
  <si>
    <t>A010</t>
  </si>
  <si>
    <t>Vivek</t>
  </si>
  <si>
    <t>Marketing</t>
  </si>
  <si>
    <t>Bangalore</t>
  </si>
  <si>
    <t>A003</t>
  </si>
  <si>
    <t>Prasad</t>
  </si>
  <si>
    <t>A012</t>
  </si>
  <si>
    <t>Vasanth</t>
  </si>
  <si>
    <t>Marketing Total</t>
  </si>
  <si>
    <t>A018</t>
  </si>
  <si>
    <t>Harish</t>
  </si>
  <si>
    <t>Production</t>
  </si>
  <si>
    <t>A006</t>
  </si>
  <si>
    <t>Daya</t>
  </si>
  <si>
    <t>Production Total</t>
  </si>
  <si>
    <t>A014</t>
  </si>
  <si>
    <t>Bharath</t>
  </si>
  <si>
    <t>Quality</t>
  </si>
  <si>
    <t>A007</t>
  </si>
  <si>
    <t>Mahesh</t>
  </si>
  <si>
    <t>Chennai</t>
  </si>
  <si>
    <t>A020</t>
  </si>
  <si>
    <t>Imran</t>
  </si>
  <si>
    <t>Quality Total</t>
  </si>
  <si>
    <t>A011</t>
  </si>
  <si>
    <t>Kumar</t>
  </si>
  <si>
    <t>Sales</t>
  </si>
  <si>
    <t>A002</t>
  </si>
  <si>
    <t>Rajeev</t>
  </si>
  <si>
    <t>A017</t>
  </si>
  <si>
    <t>Gautham</t>
  </si>
  <si>
    <t>A009</t>
  </si>
  <si>
    <t>Venkatesh</t>
  </si>
  <si>
    <t>Vizag</t>
  </si>
  <si>
    <t>Sales Total</t>
  </si>
  <si>
    <t>A005</t>
  </si>
  <si>
    <t>Robert</t>
  </si>
  <si>
    <t>Training</t>
  </si>
  <si>
    <t>Ahmadabad</t>
  </si>
  <si>
    <t>A015</t>
  </si>
  <si>
    <t>Ananth</t>
  </si>
  <si>
    <t>Training Total</t>
  </si>
  <si>
    <t>Grand Total</t>
  </si>
  <si>
    <t>Contract Total</t>
  </si>
  <si>
    <t>Permanent Total</t>
  </si>
  <si>
    <t>Temporary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</si>
</sst>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6D0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/>
    </xf>
    <xf numFmtId="0" fontId="3" fillId="0" borderId="1" xfId="0" applyFont="1" applyFill="1" applyBorder="1"/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Technical%20training/Titon%20Valves/demo%2014-09-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Latha%20Blr/demo%20exc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calculation"/>
      <sheetName val="Conditional formatting"/>
      <sheetName val="Simple functions"/>
      <sheetName val="Sorting"/>
      <sheetName val="Filtering"/>
      <sheetName val="Round function"/>
      <sheetName val="Absolute reference"/>
      <sheetName val="Simple if"/>
      <sheetName val="Salary statement"/>
      <sheetName val="printing in excel"/>
      <sheetName val="text data"/>
      <sheetName val="sumif"/>
      <sheetName val="Data validation"/>
      <sheetName val="Advance filter"/>
      <sheetName val="Advance filter_"/>
      <sheetName val="Sheet4"/>
      <sheetName val="Sales chart"/>
      <sheetName val="Sales data"/>
      <sheetName val="Pie chart"/>
      <sheetName val="piechart 2"/>
      <sheetName val="Pie chart data"/>
      <sheetName val="Goal seek"/>
      <sheetName val="Scenario Summary"/>
      <sheetName val="Scenarios"/>
      <sheetName val="Date"/>
      <sheetName val="Subtotal"/>
      <sheetName val="Lookup"/>
      <sheetName val="hlookup"/>
      <sheetName val="VLookup"/>
      <sheetName val="Sheet1"/>
      <sheetName val="Sheet2"/>
      <sheetName val="Pivot table"/>
      <sheetName val="Pivot data"/>
      <sheetName val="Spark lines"/>
      <sheetName val="index match"/>
      <sheetName val="Sheet34"/>
      <sheetName val="Sheet36"/>
      <sheetName val="Sheet37"/>
      <sheetName val="prin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9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Vlookup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zoomScale="115" zoomScaleNormal="115" workbookViewId="0">
      <selection activeCell="B8" sqref="B8"/>
    </sheetView>
  </sheetViews>
  <sheetFormatPr defaultColWidth="16.85546875" defaultRowHeight="15" outlineLevelRow="2" x14ac:dyDescent="0.25"/>
  <cols>
    <col min="1" max="1" width="14.5703125" customWidth="1"/>
    <col min="2" max="3" width="15.42578125" customWidth="1"/>
    <col min="4" max="4" width="20.85546875" customWidth="1"/>
    <col min="5" max="5" width="12.140625" customWidth="1"/>
    <col min="6" max="6" width="1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outlineLevel="2" x14ac:dyDescent="0.25">
      <c r="A2" s="2" t="s">
        <v>6</v>
      </c>
      <c r="B2" s="3" t="s">
        <v>7</v>
      </c>
      <c r="C2" s="3" t="s">
        <v>8</v>
      </c>
      <c r="D2" s="4" t="s">
        <v>9</v>
      </c>
      <c r="E2" s="3">
        <v>18500</v>
      </c>
      <c r="F2" s="5" t="s">
        <v>10</v>
      </c>
    </row>
    <row r="3" spans="1:6" outlineLevel="2" x14ac:dyDescent="0.25">
      <c r="A3" s="2" t="s">
        <v>11</v>
      </c>
      <c r="B3" s="6" t="s">
        <v>12</v>
      </c>
      <c r="C3" s="4" t="s">
        <v>13</v>
      </c>
      <c r="D3" s="4" t="s">
        <v>9</v>
      </c>
      <c r="E3" s="7">
        <v>17500</v>
      </c>
      <c r="F3" s="8" t="s">
        <v>14</v>
      </c>
    </row>
    <row r="4" spans="1:6" outlineLevel="2" x14ac:dyDescent="0.25">
      <c r="A4" s="2" t="s">
        <v>15</v>
      </c>
      <c r="B4" s="6" t="s">
        <v>16</v>
      </c>
      <c r="C4" s="4" t="s">
        <v>17</v>
      </c>
      <c r="D4" s="4" t="s">
        <v>9</v>
      </c>
      <c r="E4" s="7">
        <v>16500</v>
      </c>
      <c r="F4" s="8" t="s">
        <v>18</v>
      </c>
    </row>
    <row r="5" spans="1:6" outlineLevel="2" x14ac:dyDescent="0.25">
      <c r="A5" s="2" t="s">
        <v>19</v>
      </c>
      <c r="B5" s="3" t="s">
        <v>20</v>
      </c>
      <c r="C5" s="3" t="s">
        <v>8</v>
      </c>
      <c r="D5" s="4" t="s">
        <v>9</v>
      </c>
      <c r="E5" s="3">
        <v>18000</v>
      </c>
      <c r="F5" s="5" t="s">
        <v>21</v>
      </c>
    </row>
    <row r="6" spans="1:6" outlineLevel="1" x14ac:dyDescent="0.25">
      <c r="A6" s="2"/>
      <c r="B6" s="3"/>
      <c r="C6" s="3"/>
      <c r="D6" s="4" t="s">
        <v>22</v>
      </c>
      <c r="E6" s="3">
        <f>SUBTOTAL(9,E2:E5)</f>
        <v>70500</v>
      </c>
      <c r="F6" s="5"/>
    </row>
    <row r="7" spans="1:6" outlineLevel="2" x14ac:dyDescent="0.25">
      <c r="A7" s="2" t="s">
        <v>23</v>
      </c>
      <c r="B7" s="3" t="s">
        <v>24</v>
      </c>
      <c r="C7" s="3" t="s">
        <v>8</v>
      </c>
      <c r="D7" s="4" t="s">
        <v>25</v>
      </c>
      <c r="E7" s="3">
        <v>13800</v>
      </c>
      <c r="F7" s="5" t="s">
        <v>10</v>
      </c>
    </row>
    <row r="8" spans="1:6" outlineLevel="2" x14ac:dyDescent="0.25">
      <c r="A8" s="2" t="s">
        <v>26</v>
      </c>
      <c r="B8" s="6" t="s">
        <v>27</v>
      </c>
      <c r="C8" s="4" t="s">
        <v>8</v>
      </c>
      <c r="D8" s="4" t="s">
        <v>25</v>
      </c>
      <c r="E8" s="7">
        <v>13500</v>
      </c>
      <c r="F8" s="8" t="s">
        <v>28</v>
      </c>
    </row>
    <row r="9" spans="1:6" outlineLevel="1" x14ac:dyDescent="0.25">
      <c r="A9" s="2"/>
      <c r="B9" s="6"/>
      <c r="C9" s="4"/>
      <c r="D9" s="4" t="s">
        <v>29</v>
      </c>
      <c r="E9" s="7">
        <f>SUBTOTAL(9,E7:E8)</f>
        <v>27300</v>
      </c>
      <c r="F9" s="8"/>
    </row>
    <row r="10" spans="1:6" outlineLevel="2" x14ac:dyDescent="0.25">
      <c r="A10" s="2" t="s">
        <v>30</v>
      </c>
      <c r="B10" s="6" t="s">
        <v>31</v>
      </c>
      <c r="C10" s="4" t="s">
        <v>17</v>
      </c>
      <c r="D10" s="4" t="s">
        <v>32</v>
      </c>
      <c r="E10" s="7">
        <v>22000</v>
      </c>
      <c r="F10" s="8" t="s">
        <v>33</v>
      </c>
    </row>
    <row r="11" spans="1:6" outlineLevel="2" x14ac:dyDescent="0.25">
      <c r="A11" s="2" t="s">
        <v>34</v>
      </c>
      <c r="B11" s="6" t="s">
        <v>35</v>
      </c>
      <c r="C11" s="4" t="s">
        <v>8</v>
      </c>
      <c r="D11" s="4" t="s">
        <v>32</v>
      </c>
      <c r="E11" s="7">
        <v>18500</v>
      </c>
      <c r="F11" s="8" t="s">
        <v>10</v>
      </c>
    </row>
    <row r="12" spans="1:6" outlineLevel="2" x14ac:dyDescent="0.25">
      <c r="A12" s="2" t="s">
        <v>36</v>
      </c>
      <c r="B12" s="3" t="s">
        <v>37</v>
      </c>
      <c r="C12" s="3" t="s">
        <v>13</v>
      </c>
      <c r="D12" s="3" t="s">
        <v>32</v>
      </c>
      <c r="E12" s="3">
        <v>16500</v>
      </c>
      <c r="F12" s="5" t="s">
        <v>14</v>
      </c>
    </row>
    <row r="13" spans="1:6" outlineLevel="1" x14ac:dyDescent="0.25">
      <c r="A13" s="2"/>
      <c r="B13" s="3"/>
      <c r="C13" s="3"/>
      <c r="D13" s="3" t="s">
        <v>38</v>
      </c>
      <c r="E13" s="3">
        <f>SUBTOTAL(9,E10:E12)</f>
        <v>57000</v>
      </c>
      <c r="F13" s="5"/>
    </row>
    <row r="14" spans="1:6" outlineLevel="2" x14ac:dyDescent="0.25">
      <c r="A14" s="2" t="s">
        <v>39</v>
      </c>
      <c r="B14" s="3" t="s">
        <v>40</v>
      </c>
      <c r="C14" s="3" t="s">
        <v>17</v>
      </c>
      <c r="D14" s="3" t="s">
        <v>41</v>
      </c>
      <c r="E14" s="3">
        <v>14800</v>
      </c>
      <c r="F14" s="5" t="s">
        <v>18</v>
      </c>
    </row>
    <row r="15" spans="1:6" outlineLevel="2" x14ac:dyDescent="0.25">
      <c r="A15" s="2" t="s">
        <v>42</v>
      </c>
      <c r="B15" s="6" t="s">
        <v>43</v>
      </c>
      <c r="C15" s="4" t="s">
        <v>13</v>
      </c>
      <c r="D15" s="4" t="s">
        <v>41</v>
      </c>
      <c r="E15" s="7">
        <v>25000</v>
      </c>
      <c r="F15" s="8" t="s">
        <v>21</v>
      </c>
    </row>
    <row r="16" spans="1:6" outlineLevel="1" x14ac:dyDescent="0.25">
      <c r="A16" s="2"/>
      <c r="B16" s="6"/>
      <c r="C16" s="4"/>
      <c r="D16" s="4" t="s">
        <v>44</v>
      </c>
      <c r="E16" s="7">
        <f>SUBTOTAL(9,E14:E15)</f>
        <v>39800</v>
      </c>
      <c r="F16" s="8"/>
    </row>
    <row r="17" spans="1:6" outlineLevel="2" x14ac:dyDescent="0.25">
      <c r="A17" s="2" t="s">
        <v>45</v>
      </c>
      <c r="B17" s="3" t="s">
        <v>46</v>
      </c>
      <c r="C17" s="3" t="s">
        <v>13</v>
      </c>
      <c r="D17" s="3" t="s">
        <v>47</v>
      </c>
      <c r="E17" s="3">
        <v>17500</v>
      </c>
      <c r="F17" s="5" t="s">
        <v>33</v>
      </c>
    </row>
    <row r="18" spans="1:6" outlineLevel="2" x14ac:dyDescent="0.25">
      <c r="A18" s="2" t="s">
        <v>48</v>
      </c>
      <c r="B18" s="6" t="s">
        <v>49</v>
      </c>
      <c r="C18" s="4" t="s">
        <v>8</v>
      </c>
      <c r="D18" s="4" t="s">
        <v>47</v>
      </c>
      <c r="E18" s="7">
        <v>21000</v>
      </c>
      <c r="F18" s="8" t="s">
        <v>50</v>
      </c>
    </row>
    <row r="19" spans="1:6" outlineLevel="2" x14ac:dyDescent="0.25">
      <c r="A19" s="2" t="s">
        <v>51</v>
      </c>
      <c r="B19" s="3" t="s">
        <v>52</v>
      </c>
      <c r="C19" s="3" t="s">
        <v>17</v>
      </c>
      <c r="D19" s="3" t="s">
        <v>47</v>
      </c>
      <c r="E19" s="3">
        <v>17400</v>
      </c>
      <c r="F19" s="5" t="s">
        <v>28</v>
      </c>
    </row>
    <row r="20" spans="1:6" outlineLevel="1" x14ac:dyDescent="0.25">
      <c r="A20" s="2"/>
      <c r="B20" s="3"/>
      <c r="C20" s="3"/>
      <c r="D20" s="3" t="s">
        <v>53</v>
      </c>
      <c r="E20" s="3">
        <f>SUBTOTAL(9,E17:E19)</f>
        <v>55900</v>
      </c>
      <c r="F20" s="5"/>
    </row>
    <row r="21" spans="1:6" outlineLevel="2" x14ac:dyDescent="0.25">
      <c r="A21" s="2" t="s">
        <v>54</v>
      </c>
      <c r="B21" s="3" t="s">
        <v>55</v>
      </c>
      <c r="C21" s="3" t="s">
        <v>17</v>
      </c>
      <c r="D21" s="3" t="s">
        <v>56</v>
      </c>
      <c r="E21" s="3">
        <v>17400</v>
      </c>
      <c r="F21" s="5" t="s">
        <v>33</v>
      </c>
    </row>
    <row r="22" spans="1:6" outlineLevel="2" x14ac:dyDescent="0.25">
      <c r="A22" s="2" t="s">
        <v>57</v>
      </c>
      <c r="B22" s="6" t="s">
        <v>58</v>
      </c>
      <c r="C22" s="4" t="s">
        <v>13</v>
      </c>
      <c r="D22" s="4" t="s">
        <v>56</v>
      </c>
      <c r="E22" s="7">
        <v>17400</v>
      </c>
      <c r="F22" s="8" t="s">
        <v>50</v>
      </c>
    </row>
    <row r="23" spans="1:6" outlineLevel="2" x14ac:dyDescent="0.25">
      <c r="A23" s="2" t="s">
        <v>59</v>
      </c>
      <c r="B23" s="3" t="s">
        <v>60</v>
      </c>
      <c r="C23" s="3" t="s">
        <v>13</v>
      </c>
      <c r="D23" s="3" t="s">
        <v>56</v>
      </c>
      <c r="E23" s="3">
        <v>16500</v>
      </c>
      <c r="F23" s="5" t="s">
        <v>50</v>
      </c>
    </row>
    <row r="24" spans="1:6" outlineLevel="2" x14ac:dyDescent="0.25">
      <c r="A24" s="2" t="s">
        <v>61</v>
      </c>
      <c r="B24" s="6" t="s">
        <v>62</v>
      </c>
      <c r="C24" s="4" t="s">
        <v>8</v>
      </c>
      <c r="D24" s="4" t="s">
        <v>56</v>
      </c>
      <c r="E24" s="7">
        <v>18600</v>
      </c>
      <c r="F24" s="8" t="s">
        <v>63</v>
      </c>
    </row>
    <row r="25" spans="1:6" outlineLevel="1" x14ac:dyDescent="0.25">
      <c r="A25" s="2"/>
      <c r="B25" s="6"/>
      <c r="C25" s="4"/>
      <c r="D25" s="4" t="s">
        <v>64</v>
      </c>
      <c r="E25" s="7">
        <f>SUBTOTAL(9,E21:E24)</f>
        <v>69900</v>
      </c>
      <c r="F25" s="8"/>
    </row>
    <row r="26" spans="1:6" outlineLevel="2" x14ac:dyDescent="0.25">
      <c r="A26" s="2" t="s">
        <v>65</v>
      </c>
      <c r="B26" s="6" t="s">
        <v>66</v>
      </c>
      <c r="C26" s="4" t="s">
        <v>13</v>
      </c>
      <c r="D26" s="4" t="s">
        <v>67</v>
      </c>
      <c r="E26" s="7">
        <v>19000</v>
      </c>
      <c r="F26" s="8" t="s">
        <v>68</v>
      </c>
    </row>
    <row r="27" spans="1:6" outlineLevel="2" x14ac:dyDescent="0.25">
      <c r="A27" s="2" t="s">
        <v>69</v>
      </c>
      <c r="B27" s="3" t="s">
        <v>70</v>
      </c>
      <c r="C27" s="3" t="s">
        <v>13</v>
      </c>
      <c r="D27" s="3" t="s">
        <v>67</v>
      </c>
      <c r="E27" s="3">
        <v>19600</v>
      </c>
      <c r="F27" s="5" t="s">
        <v>28</v>
      </c>
    </row>
    <row r="28" spans="1:6" outlineLevel="1" x14ac:dyDescent="0.25">
      <c r="A28" s="9"/>
      <c r="B28" s="10"/>
      <c r="C28" s="10"/>
      <c r="D28" s="10" t="s">
        <v>71</v>
      </c>
      <c r="E28" s="10">
        <f>SUBTOTAL(9,E26:E27)</f>
        <v>38600</v>
      </c>
      <c r="F28" s="11"/>
    </row>
    <row r="29" spans="1:6" x14ac:dyDescent="0.25">
      <c r="A29" s="9"/>
      <c r="B29" s="10"/>
      <c r="C29" s="10"/>
      <c r="D29" s="10" t="s">
        <v>72</v>
      </c>
      <c r="E29" s="10">
        <f>SUBTOTAL(9,E2:E27)</f>
        <v>359000</v>
      </c>
      <c r="F29" s="11"/>
    </row>
    <row r="37" spans="1:6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x14ac:dyDescent="0.25">
      <c r="A38" s="2" t="s">
        <v>19</v>
      </c>
      <c r="B38" s="3" t="s">
        <v>20</v>
      </c>
      <c r="C38" s="3" t="s">
        <v>8</v>
      </c>
      <c r="D38" s="4" t="s">
        <v>9</v>
      </c>
      <c r="E38" s="3">
        <v>18000</v>
      </c>
      <c r="F38" s="5" t="s">
        <v>21</v>
      </c>
    </row>
    <row r="39" spans="1:6" x14ac:dyDescent="0.25">
      <c r="A39" s="2" t="s">
        <v>6</v>
      </c>
      <c r="B39" s="3" t="s">
        <v>7</v>
      </c>
      <c r="C39" s="3" t="s">
        <v>8</v>
      </c>
      <c r="D39" s="4" t="s">
        <v>9</v>
      </c>
      <c r="E39" s="3">
        <v>18500</v>
      </c>
      <c r="F39" s="5" t="s">
        <v>10</v>
      </c>
    </row>
    <row r="40" spans="1:6" x14ac:dyDescent="0.25">
      <c r="A40" s="2" t="s">
        <v>26</v>
      </c>
      <c r="B40" s="6" t="s">
        <v>27</v>
      </c>
      <c r="C40" s="4" t="s">
        <v>8</v>
      </c>
      <c r="D40" s="4" t="s">
        <v>25</v>
      </c>
      <c r="E40" s="7">
        <v>13500</v>
      </c>
      <c r="F40" s="8" t="s">
        <v>28</v>
      </c>
    </row>
    <row r="41" spans="1:6" x14ac:dyDescent="0.25">
      <c r="A41" s="2" t="s">
        <v>23</v>
      </c>
      <c r="B41" s="3" t="s">
        <v>24</v>
      </c>
      <c r="C41" s="3" t="s">
        <v>8</v>
      </c>
      <c r="D41" s="4" t="s">
        <v>25</v>
      </c>
      <c r="E41" s="3">
        <v>13800</v>
      </c>
      <c r="F41" s="5" t="s">
        <v>10</v>
      </c>
    </row>
    <row r="42" spans="1:6" x14ac:dyDescent="0.25">
      <c r="A42" s="2" t="s">
        <v>34</v>
      </c>
      <c r="B42" s="6" t="s">
        <v>35</v>
      </c>
      <c r="C42" s="4" t="s">
        <v>8</v>
      </c>
      <c r="D42" s="4" t="s">
        <v>32</v>
      </c>
      <c r="E42" s="7">
        <v>18500</v>
      </c>
      <c r="F42" s="8" t="s">
        <v>10</v>
      </c>
    </row>
    <row r="43" spans="1:6" x14ac:dyDescent="0.25">
      <c r="A43" s="2" t="s">
        <v>48</v>
      </c>
      <c r="B43" s="6" t="s">
        <v>49</v>
      </c>
      <c r="C43" s="4" t="s">
        <v>8</v>
      </c>
      <c r="D43" s="4" t="s">
        <v>47</v>
      </c>
      <c r="E43" s="7">
        <v>21000</v>
      </c>
      <c r="F43" s="8" t="s">
        <v>50</v>
      </c>
    </row>
    <row r="44" spans="1:6" x14ac:dyDescent="0.25">
      <c r="A44" s="2" t="s">
        <v>61</v>
      </c>
      <c r="B44" s="6" t="s">
        <v>62</v>
      </c>
      <c r="C44" s="4" t="s">
        <v>8</v>
      </c>
      <c r="D44" s="4" t="s">
        <v>56</v>
      </c>
      <c r="E44" s="7">
        <v>18600</v>
      </c>
      <c r="F44" s="8" t="s">
        <v>63</v>
      </c>
    </row>
    <row r="45" spans="1:6" x14ac:dyDescent="0.25">
      <c r="A45" s="2"/>
      <c r="B45" s="6"/>
      <c r="C45" s="4" t="s">
        <v>73</v>
      </c>
      <c r="D45" s="4"/>
      <c r="E45" s="7">
        <f>SUBTOTAL(9,E38:E44)</f>
        <v>121900</v>
      </c>
      <c r="F45" s="8"/>
    </row>
    <row r="46" spans="1:6" x14ac:dyDescent="0.25">
      <c r="A46" s="2" t="s">
        <v>15</v>
      </c>
      <c r="B46" s="6" t="s">
        <v>16</v>
      </c>
      <c r="C46" s="4" t="s">
        <v>17</v>
      </c>
      <c r="D46" s="4" t="s">
        <v>9</v>
      </c>
      <c r="E46" s="7">
        <v>16500</v>
      </c>
      <c r="F46" s="8" t="s">
        <v>18</v>
      </c>
    </row>
    <row r="47" spans="1:6" x14ac:dyDescent="0.25">
      <c r="A47" s="2" t="s">
        <v>30</v>
      </c>
      <c r="B47" s="6" t="s">
        <v>31</v>
      </c>
      <c r="C47" s="4" t="s">
        <v>17</v>
      </c>
      <c r="D47" s="4" t="s">
        <v>32</v>
      </c>
      <c r="E47" s="7">
        <v>22000</v>
      </c>
      <c r="F47" s="8" t="s">
        <v>33</v>
      </c>
    </row>
    <row r="48" spans="1:6" x14ac:dyDescent="0.25">
      <c r="A48" s="2" t="s">
        <v>39</v>
      </c>
      <c r="B48" s="3" t="s">
        <v>40</v>
      </c>
      <c r="C48" s="3" t="s">
        <v>17</v>
      </c>
      <c r="D48" s="3" t="s">
        <v>41</v>
      </c>
      <c r="E48" s="3">
        <v>14800</v>
      </c>
      <c r="F48" s="5" t="s">
        <v>18</v>
      </c>
    </row>
    <row r="49" spans="1:6" x14ac:dyDescent="0.25">
      <c r="A49" s="2" t="s">
        <v>51</v>
      </c>
      <c r="B49" s="3" t="s">
        <v>52</v>
      </c>
      <c r="C49" s="3" t="s">
        <v>17</v>
      </c>
      <c r="D49" s="3" t="s">
        <v>47</v>
      </c>
      <c r="E49" s="3">
        <v>17400</v>
      </c>
      <c r="F49" s="5" t="s">
        <v>28</v>
      </c>
    </row>
    <row r="50" spans="1:6" x14ac:dyDescent="0.25">
      <c r="A50" s="2" t="s">
        <v>54</v>
      </c>
      <c r="B50" s="3" t="s">
        <v>55</v>
      </c>
      <c r="C50" s="3" t="s">
        <v>17</v>
      </c>
      <c r="D50" s="3" t="s">
        <v>56</v>
      </c>
      <c r="E50" s="3">
        <v>17400</v>
      </c>
      <c r="F50" s="5" t="s">
        <v>33</v>
      </c>
    </row>
    <row r="51" spans="1:6" x14ac:dyDescent="0.25">
      <c r="A51" s="2"/>
      <c r="B51" s="3"/>
      <c r="C51" s="3" t="s">
        <v>74</v>
      </c>
      <c r="D51" s="3"/>
      <c r="E51" s="3">
        <f>SUBTOTAL(9,E46:E50)</f>
        <v>88100</v>
      </c>
      <c r="F51" s="5"/>
    </row>
    <row r="52" spans="1:6" x14ac:dyDescent="0.25">
      <c r="A52" s="2" t="s">
        <v>11</v>
      </c>
      <c r="B52" s="6" t="s">
        <v>12</v>
      </c>
      <c r="C52" s="4" t="s">
        <v>13</v>
      </c>
      <c r="D52" s="4" t="s">
        <v>9</v>
      </c>
      <c r="E52" s="7">
        <v>17500</v>
      </c>
      <c r="F52" s="8" t="s">
        <v>14</v>
      </c>
    </row>
    <row r="53" spans="1:6" x14ac:dyDescent="0.25">
      <c r="A53" s="2" t="s">
        <v>36</v>
      </c>
      <c r="B53" s="3" t="s">
        <v>37</v>
      </c>
      <c r="C53" s="3" t="s">
        <v>13</v>
      </c>
      <c r="D53" s="3" t="s">
        <v>32</v>
      </c>
      <c r="E53" s="3">
        <v>16500</v>
      </c>
      <c r="F53" s="5" t="s">
        <v>14</v>
      </c>
    </row>
    <row r="54" spans="1:6" x14ac:dyDescent="0.25">
      <c r="A54" s="2" t="s">
        <v>42</v>
      </c>
      <c r="B54" s="6" t="s">
        <v>43</v>
      </c>
      <c r="C54" s="4" t="s">
        <v>13</v>
      </c>
      <c r="D54" s="4" t="s">
        <v>41</v>
      </c>
      <c r="E54" s="7">
        <v>25000</v>
      </c>
      <c r="F54" s="8" t="s">
        <v>21</v>
      </c>
    </row>
    <row r="55" spans="1:6" x14ac:dyDescent="0.25">
      <c r="A55" s="2" t="s">
        <v>45</v>
      </c>
      <c r="B55" s="3" t="s">
        <v>46</v>
      </c>
      <c r="C55" s="3" t="s">
        <v>13</v>
      </c>
      <c r="D55" s="3" t="s">
        <v>47</v>
      </c>
      <c r="E55" s="3">
        <v>17500</v>
      </c>
      <c r="F55" s="5" t="s">
        <v>33</v>
      </c>
    </row>
    <row r="56" spans="1:6" x14ac:dyDescent="0.25">
      <c r="A56" s="2" t="s">
        <v>57</v>
      </c>
      <c r="B56" s="6" t="s">
        <v>58</v>
      </c>
      <c r="C56" s="4" t="s">
        <v>13</v>
      </c>
      <c r="D56" s="4" t="s">
        <v>56</v>
      </c>
      <c r="E56" s="7">
        <v>17400</v>
      </c>
      <c r="F56" s="8" t="s">
        <v>50</v>
      </c>
    </row>
    <row r="57" spans="1:6" x14ac:dyDescent="0.25">
      <c r="A57" s="2" t="s">
        <v>59</v>
      </c>
      <c r="B57" s="3" t="s">
        <v>60</v>
      </c>
      <c r="C57" s="3" t="s">
        <v>13</v>
      </c>
      <c r="D57" s="3" t="s">
        <v>56</v>
      </c>
      <c r="E57" s="3">
        <v>16500</v>
      </c>
      <c r="F57" s="5" t="s">
        <v>50</v>
      </c>
    </row>
    <row r="58" spans="1:6" x14ac:dyDescent="0.25">
      <c r="A58" s="2" t="s">
        <v>65</v>
      </c>
      <c r="B58" s="6" t="s">
        <v>66</v>
      </c>
      <c r="C58" s="4" t="s">
        <v>13</v>
      </c>
      <c r="D58" s="4" t="s">
        <v>67</v>
      </c>
      <c r="E58" s="7">
        <v>19000</v>
      </c>
      <c r="F58" s="8" t="s">
        <v>68</v>
      </c>
    </row>
    <row r="59" spans="1:6" x14ac:dyDescent="0.25">
      <c r="A59" s="2" t="s">
        <v>69</v>
      </c>
      <c r="B59" s="3" t="s">
        <v>70</v>
      </c>
      <c r="C59" s="3" t="s">
        <v>13</v>
      </c>
      <c r="D59" s="3" t="s">
        <v>67</v>
      </c>
      <c r="E59" s="3">
        <v>19600</v>
      </c>
      <c r="F59" s="5" t="s">
        <v>28</v>
      </c>
    </row>
    <row r="60" spans="1:6" x14ac:dyDescent="0.25">
      <c r="A60" s="9"/>
      <c r="B60" s="10"/>
      <c r="C60" s="10" t="s">
        <v>75</v>
      </c>
      <c r="D60" s="10"/>
      <c r="E60" s="10">
        <f>SUBTOTAL(9,E52:E59)</f>
        <v>149000</v>
      </c>
      <c r="F60" s="11"/>
    </row>
    <row r="61" spans="1:6" x14ac:dyDescent="0.25">
      <c r="A61" s="9"/>
      <c r="B61" s="10"/>
      <c r="C61" s="10" t="s">
        <v>72</v>
      </c>
      <c r="D61" s="10"/>
      <c r="E61" s="10">
        <f>SUBTOTAL(9,E38:E59)</f>
        <v>359000</v>
      </c>
      <c r="F61" s="11"/>
    </row>
  </sheetData>
  <dataValidations count="1">
    <dataValidation type="list" allowBlank="1" showInputMessage="1" showErrorMessage="1" sqref="C21:C24 C52:C59 C14:C15 C46:C50 C38:C44 C2:C5 C26:C27 C10:C12 C17:C19 C7:C8">
      <formula1>"Permanent, Temporary, Contract"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2024-02-01T23:04:36Z</dcterms:created>
  <dcterms:modified xsi:type="dcterms:W3CDTF">2024-02-01T23:05:22Z</dcterms:modified>
</cp:coreProperties>
</file>