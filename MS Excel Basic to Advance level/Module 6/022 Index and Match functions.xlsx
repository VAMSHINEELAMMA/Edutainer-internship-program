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index match" sheetId="3" r:id="rId1"/>
    <sheet name="Sheet9" sheetId="1" r:id="rId2"/>
    <sheet name="Sheet10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aaaaaa" localSheetId="0">#REF!</definedName>
    <definedName name="aaaaaa">#REF!</definedName>
    <definedName name="amarks" localSheetId="0">#REF!</definedName>
    <definedName name="amarks">#REF!</definedName>
    <definedName name="cost">[2]Sheet22!$D$4</definedName>
    <definedName name="criteria1" localSheetId="0">'[3]Advance filter'!#REF!</definedName>
    <definedName name="criteria1">'[3]Advance filter'!#REF!</definedName>
    <definedName name="Employee_ID">"sheet34!a1:a10"</definedName>
    <definedName name="Entertainment">[4]Scenarios!$C$6</definedName>
    <definedName name="etype">'[5]Data validation'!$G$29:$G$31</definedName>
    <definedName name="Furniture">[4]Scenarios!$C$3</definedName>
    <definedName name="GST">'[6]Cell references'!$H$18</definedName>
    <definedName name="lap_price">'[7]Financial functions'!$B$114</definedName>
    <definedName name="lap_price2" localSheetId="0">#REF!</definedName>
    <definedName name="lap_price2">#REF!</definedName>
    <definedName name="lap_qty">'[7]Financial functions'!$B$115</definedName>
    <definedName name="laptop_price" localSheetId="0">#REF!</definedName>
    <definedName name="laptop_price">#REF!</definedName>
    <definedName name="Laptop_qty" localSheetId="0">#REF!</definedName>
    <definedName name="Laptop_qty">#REF!</definedName>
    <definedName name="marks_list">'[8]Define name'!$G$10:$G$14</definedName>
    <definedName name="marks_list1" localSheetId="0">#REF!</definedName>
    <definedName name="marks_list1">#REF!</definedName>
    <definedName name="mobileprice" localSheetId="0">'[9]relative cell reference'!#REF!</definedName>
    <definedName name="mobileprice">'[9]relative cell reference'!#REF!</definedName>
    <definedName name="PF">[9]Sheet15!$B$3</definedName>
    <definedName name="Price">'[9]relative cell reference'!#REF!</definedName>
    <definedName name="qty">[2]Sheet22!$D$5</definedName>
    <definedName name="quantity">'[9]relative cell reference'!#REF!</definedName>
    <definedName name="salary">[2]Sheet22!$F$2:$F$6</definedName>
    <definedName name="Salary_emp">[4]Scenarios!$C$5</definedName>
    <definedName name="salesvalue">[10]Sheet25!$E$3:$E$10</definedName>
    <definedName name="Staff_welfare">[4]Scenarios!$C$4</definedName>
    <definedName name="totaltax" localSheetId="0">'[9]relative cell reference'!#REF!</definedName>
    <definedName name="totaltax">'[9]relative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B6" i="3"/>
  <c r="B4" i="3"/>
  <c r="I32" i="3"/>
  <c r="H32" i="3"/>
  <c r="G32" i="3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<sst xmlns="http://schemas.openxmlformats.org/spreadsheetml/2006/main" count="121" uniqueCount="60">
  <si>
    <t>Permanent</t>
  </si>
  <si>
    <t>Vivek</t>
  </si>
  <si>
    <t>A010</t>
  </si>
  <si>
    <t>Contract</t>
  </si>
  <si>
    <t>Venkatesh</t>
  </si>
  <si>
    <t>A009</t>
  </si>
  <si>
    <t>Temporary</t>
  </si>
  <si>
    <t>Robin</t>
  </si>
  <si>
    <t>A008</t>
  </si>
  <si>
    <t>Mahesh</t>
  </si>
  <si>
    <t>A007</t>
  </si>
  <si>
    <t>Daya</t>
  </si>
  <si>
    <t>A006</t>
  </si>
  <si>
    <t>Robert</t>
  </si>
  <si>
    <t>A005</t>
  </si>
  <si>
    <t>Sunitha</t>
  </si>
  <si>
    <t>A004</t>
  </si>
  <si>
    <t>Prasad</t>
  </si>
  <si>
    <t>A003</t>
  </si>
  <si>
    <t>Rajeev</t>
  </si>
  <si>
    <t>A002</t>
  </si>
  <si>
    <t>Vinaykumar</t>
  </si>
  <si>
    <t>A001</t>
  </si>
  <si>
    <t>City</t>
  </si>
  <si>
    <t>TYPE</t>
  </si>
  <si>
    <t>Name</t>
  </si>
  <si>
    <t>Employee ID</t>
  </si>
  <si>
    <t>Noida</t>
  </si>
  <si>
    <t>Production</t>
  </si>
  <si>
    <t>Chennai</t>
  </si>
  <si>
    <t>Quality</t>
  </si>
  <si>
    <t>Ahmadabad</t>
  </si>
  <si>
    <t>Training</t>
  </si>
  <si>
    <t>Delhi</t>
  </si>
  <si>
    <t>Marketing</t>
  </si>
  <si>
    <t>Hyderabad</t>
  </si>
  <si>
    <t>Administration</t>
  </si>
  <si>
    <t>Sales</t>
  </si>
  <si>
    <t>Mumbai</t>
  </si>
  <si>
    <t>Kolkata</t>
  </si>
  <si>
    <t>Human Resource</t>
  </si>
  <si>
    <t>CITY</t>
  </si>
  <si>
    <t>SALARY</t>
  </si>
  <si>
    <t>DEPARTMENT</t>
  </si>
  <si>
    <t>Date:</t>
  </si>
  <si>
    <t>Date</t>
  </si>
  <si>
    <t>Weekday</t>
  </si>
  <si>
    <t>Amount</t>
  </si>
  <si>
    <t>Amount:</t>
  </si>
  <si>
    <t>Sunday</t>
  </si>
  <si>
    <t>Monday</t>
  </si>
  <si>
    <t>Tuesday</t>
  </si>
  <si>
    <t>Wednesday</t>
  </si>
  <si>
    <t>Thursday</t>
  </si>
  <si>
    <t>Friday</t>
  </si>
  <si>
    <t>Saturday</t>
  </si>
  <si>
    <t>Department</t>
  </si>
  <si>
    <t>Salary</t>
  </si>
  <si>
    <t>Match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</si>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</sst>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46D0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quotePrefix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Fill="1" applyBorder="1"/>
    <xf numFmtId="0" fontId="1" fillId="0" borderId="1" xfId="0" applyFont="1" applyBorder="1" applyAlignment="1">
      <alignment horizontal="right"/>
    </xf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2" fillId="2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21%20What%20if%20analysi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Technical%20training/Titon%20Valves/demo%2014-09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ing"/>
      <sheetName val="Sheet2"/>
      <sheetName val="sumif"/>
      <sheetName val="Sheet4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table"/>
      <sheetName val="Scenarios"/>
      <sheetName val="Scenario Summary"/>
      <sheetName val="Goal seek"/>
    </sheetNames>
    <sheetDataSet>
      <sheetData sheetId="0" refreshError="1"/>
      <sheetData sheetId="1">
        <row r="3">
          <cell r="C3">
            <v>75000</v>
          </cell>
        </row>
        <row r="4">
          <cell r="C4">
            <v>35000</v>
          </cell>
        </row>
        <row r="5">
          <cell r="C5">
            <v>120000</v>
          </cell>
        </row>
        <row r="6">
          <cell r="C6">
            <v>36000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calculation"/>
      <sheetName val="Conditional formatting"/>
      <sheetName val="Simple functions"/>
      <sheetName val="Sorting"/>
      <sheetName val="Filtering"/>
      <sheetName val="Round function"/>
      <sheetName val="Absolute reference"/>
      <sheetName val="Simple if"/>
      <sheetName val="Salary statement"/>
      <sheetName val="printing in excel"/>
      <sheetName val="text data"/>
      <sheetName val="sumif"/>
      <sheetName val="Data validation"/>
      <sheetName val="Advance filter"/>
      <sheetName val="Sales chart"/>
      <sheetName val="Sales data"/>
      <sheetName val="Pie chart"/>
      <sheetName val="piechart 2"/>
      <sheetName val="Pie chart data"/>
      <sheetName val="Goal seek"/>
      <sheetName val="Scenario Summary"/>
      <sheetName val="Scenarios"/>
      <sheetName val="Date"/>
      <sheetName val="Subtotal"/>
      <sheetName val="Lookup"/>
      <sheetName val="hlookup"/>
      <sheetName val="VLookup"/>
      <sheetName val="Sheet1"/>
      <sheetName val="Sheet2"/>
      <sheetName val="Pivot table"/>
      <sheetName val="Pivot data"/>
      <sheetName val="Spark lines"/>
      <sheetName val="index match"/>
      <sheetName val="Sheet34"/>
      <sheetName val="Sheet36"/>
      <sheetName val="Sheet37"/>
      <sheetName val="prin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7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zoomScale="130" zoomScaleNormal="130" workbookViewId="0">
      <selection activeCell="B5" sqref="B5"/>
    </sheetView>
  </sheetViews>
  <sheetFormatPr defaultRowHeight="15" x14ac:dyDescent="0.25"/>
  <cols>
    <col min="2" max="2" width="21.7109375" customWidth="1"/>
    <col min="4" max="4" width="12.42578125" customWidth="1"/>
    <col min="5" max="5" width="15.7109375" customWidth="1"/>
    <col min="6" max="6" width="17.7109375" customWidth="1"/>
    <col min="7" max="7" width="12.28515625" customWidth="1"/>
    <col min="8" max="8" width="11.85546875" customWidth="1"/>
    <col min="9" max="9" width="12.7109375" customWidth="1"/>
  </cols>
  <sheetData>
    <row r="1" spans="1:6" x14ac:dyDescent="0.25">
      <c r="A1" t="s">
        <v>44</v>
      </c>
      <c r="B1" s="9">
        <v>10</v>
      </c>
      <c r="D1" s="10" t="s">
        <v>45</v>
      </c>
      <c r="E1" s="10" t="s">
        <v>46</v>
      </c>
      <c r="F1" s="10" t="s">
        <v>47</v>
      </c>
    </row>
    <row r="2" spans="1:6" x14ac:dyDescent="0.25">
      <c r="A2" t="s">
        <v>48</v>
      </c>
      <c r="B2">
        <f>INDEX(F2:F21,MATCH(B1,D2:D21))</f>
        <v>358</v>
      </c>
      <c r="D2" s="11">
        <v>5</v>
      </c>
      <c r="E2" s="11" t="s">
        <v>49</v>
      </c>
      <c r="F2" s="11">
        <v>23</v>
      </c>
    </row>
    <row r="3" spans="1:6" x14ac:dyDescent="0.25">
      <c r="D3" s="11">
        <v>6</v>
      </c>
      <c r="E3" s="11" t="s">
        <v>50</v>
      </c>
      <c r="F3" s="11">
        <v>145</v>
      </c>
    </row>
    <row r="4" spans="1:6" x14ac:dyDescent="0.25">
      <c r="A4" t="s">
        <v>58</v>
      </c>
      <c r="B4">
        <f>MATCH(B1,D2:D21,0)</f>
        <v>6</v>
      </c>
      <c r="D4" s="11">
        <v>7</v>
      </c>
      <c r="E4" s="11" t="s">
        <v>51</v>
      </c>
      <c r="F4" s="11">
        <v>963</v>
      </c>
    </row>
    <row r="5" spans="1:6" x14ac:dyDescent="0.25">
      <c r="D5" s="11">
        <v>8</v>
      </c>
      <c r="E5" s="11" t="s">
        <v>52</v>
      </c>
      <c r="F5" s="11">
        <v>258</v>
      </c>
    </row>
    <row r="6" spans="1:6" x14ac:dyDescent="0.25">
      <c r="A6" t="s">
        <v>59</v>
      </c>
      <c r="B6">
        <f>INDEX(F2:F21,B4)</f>
        <v>358</v>
      </c>
      <c r="D6" s="11">
        <v>9</v>
      </c>
      <c r="E6" s="11" t="s">
        <v>53</v>
      </c>
      <c r="F6" s="11">
        <v>78</v>
      </c>
    </row>
    <row r="7" spans="1:6" x14ac:dyDescent="0.25">
      <c r="D7" s="12">
        <v>10</v>
      </c>
      <c r="E7" s="11" t="s">
        <v>54</v>
      </c>
      <c r="F7" s="12">
        <v>358</v>
      </c>
    </row>
    <row r="8" spans="1:6" x14ac:dyDescent="0.25">
      <c r="D8" s="11">
        <v>11</v>
      </c>
      <c r="E8" s="11" t="s">
        <v>55</v>
      </c>
      <c r="F8" s="11">
        <v>258</v>
      </c>
    </row>
    <row r="9" spans="1:6" x14ac:dyDescent="0.25">
      <c r="D9" s="11">
        <v>12</v>
      </c>
      <c r="E9" s="11" t="s">
        <v>49</v>
      </c>
      <c r="F9" s="11">
        <v>147</v>
      </c>
    </row>
    <row r="10" spans="1:6" x14ac:dyDescent="0.25">
      <c r="D10" s="11">
        <v>13</v>
      </c>
      <c r="E10" s="11" t="s">
        <v>50</v>
      </c>
      <c r="F10" s="11">
        <v>369</v>
      </c>
    </row>
    <row r="11" spans="1:6" x14ac:dyDescent="0.25">
      <c r="D11" s="11">
        <v>14</v>
      </c>
      <c r="E11" s="11" t="s">
        <v>51</v>
      </c>
      <c r="F11" s="11">
        <v>145</v>
      </c>
    </row>
    <row r="12" spans="1:6" x14ac:dyDescent="0.25">
      <c r="D12" s="11">
        <v>15</v>
      </c>
      <c r="E12" s="11" t="s">
        <v>52</v>
      </c>
      <c r="F12" s="11">
        <v>269</v>
      </c>
    </row>
    <row r="13" spans="1:6" x14ac:dyDescent="0.25">
      <c r="D13" s="11">
        <v>16</v>
      </c>
      <c r="E13" s="11" t="s">
        <v>53</v>
      </c>
      <c r="F13" s="11">
        <v>357</v>
      </c>
    </row>
    <row r="14" spans="1:6" x14ac:dyDescent="0.25">
      <c r="D14" s="11">
        <v>17</v>
      </c>
      <c r="E14" s="11" t="s">
        <v>54</v>
      </c>
      <c r="F14" s="11">
        <v>856</v>
      </c>
    </row>
    <row r="15" spans="1:6" x14ac:dyDescent="0.25">
      <c r="D15" s="11">
        <v>18</v>
      </c>
      <c r="E15" s="11" t="s">
        <v>55</v>
      </c>
      <c r="F15" s="11">
        <v>695</v>
      </c>
    </row>
    <row r="16" spans="1:6" x14ac:dyDescent="0.25">
      <c r="D16" s="11">
        <v>19</v>
      </c>
      <c r="E16" s="11" t="s">
        <v>49</v>
      </c>
      <c r="F16" s="11">
        <v>357</v>
      </c>
    </row>
    <row r="17" spans="1:9" x14ac:dyDescent="0.25">
      <c r="D17" s="11">
        <v>20</v>
      </c>
      <c r="E17" s="11" t="s">
        <v>50</v>
      </c>
      <c r="F17" s="11">
        <v>698</v>
      </c>
    </row>
    <row r="18" spans="1:9" x14ac:dyDescent="0.25">
      <c r="D18" s="11">
        <v>21</v>
      </c>
      <c r="E18" s="11" t="s">
        <v>51</v>
      </c>
      <c r="F18" s="11">
        <v>258</v>
      </c>
    </row>
    <row r="19" spans="1:9" x14ac:dyDescent="0.25">
      <c r="D19" s="11">
        <v>22</v>
      </c>
      <c r="E19" s="11" t="s">
        <v>52</v>
      </c>
      <c r="F19" s="11">
        <v>147</v>
      </c>
    </row>
    <row r="20" spans="1:9" x14ac:dyDescent="0.25">
      <c r="D20" s="11">
        <v>23</v>
      </c>
      <c r="E20" s="11" t="s">
        <v>53</v>
      </c>
      <c r="F20" s="11">
        <v>258</v>
      </c>
    </row>
    <row r="21" spans="1:9" x14ac:dyDescent="0.25">
      <c r="D21" s="11">
        <v>24</v>
      </c>
      <c r="E21" s="11" t="s">
        <v>54</v>
      </c>
      <c r="F21" s="11">
        <v>123</v>
      </c>
    </row>
    <row r="31" spans="1:9" ht="24" x14ac:dyDescent="0.25">
      <c r="A31" s="6" t="s">
        <v>26</v>
      </c>
      <c r="B31" s="6" t="s">
        <v>43</v>
      </c>
      <c r="C31" s="6" t="s">
        <v>42</v>
      </c>
      <c r="D31" s="6" t="s">
        <v>41</v>
      </c>
      <c r="G31" s="13" t="s">
        <v>56</v>
      </c>
      <c r="H31" s="13" t="s">
        <v>57</v>
      </c>
      <c r="I31" s="13" t="s">
        <v>23</v>
      </c>
    </row>
    <row r="32" spans="1:9" x14ac:dyDescent="0.25">
      <c r="A32" s="4" t="s">
        <v>16</v>
      </c>
      <c r="B32" s="2" t="s">
        <v>40</v>
      </c>
      <c r="C32" s="8">
        <v>13500</v>
      </c>
      <c r="D32" s="7" t="s">
        <v>39</v>
      </c>
      <c r="F32" t="s">
        <v>14</v>
      </c>
      <c r="G32" t="str">
        <f>INDEX(B32:B39,MATCH(F32,A32:A39,0))</f>
        <v>Training</v>
      </c>
      <c r="H32">
        <f>INDEX(C32:C39,MATCH(F32,A32:A39,0))</f>
        <v>19000</v>
      </c>
      <c r="I32" t="str">
        <f>INDEX(D32:D39,MATCH(F32,A32:A39,0))</f>
        <v>Ahmadabad</v>
      </c>
    </row>
    <row r="33" spans="1:4" x14ac:dyDescent="0.25">
      <c r="A33" s="4" t="s">
        <v>22</v>
      </c>
      <c r="B33" s="2" t="s">
        <v>36</v>
      </c>
      <c r="C33" s="8">
        <v>16500</v>
      </c>
      <c r="D33" s="7" t="s">
        <v>38</v>
      </c>
    </row>
    <row r="34" spans="1:4" x14ac:dyDescent="0.25">
      <c r="A34" s="4" t="s">
        <v>20</v>
      </c>
      <c r="B34" s="2" t="s">
        <v>37</v>
      </c>
      <c r="C34" s="8">
        <v>17400</v>
      </c>
      <c r="D34" s="7" t="s">
        <v>29</v>
      </c>
    </row>
    <row r="35" spans="1:4" x14ac:dyDescent="0.25">
      <c r="A35" s="4" t="s">
        <v>8</v>
      </c>
      <c r="B35" s="2" t="s">
        <v>36</v>
      </c>
      <c r="C35" s="8">
        <v>17500</v>
      </c>
      <c r="D35" s="7" t="s">
        <v>35</v>
      </c>
    </row>
    <row r="36" spans="1:4" x14ac:dyDescent="0.25">
      <c r="A36" s="4" t="s">
        <v>18</v>
      </c>
      <c r="B36" s="2" t="s">
        <v>34</v>
      </c>
      <c r="C36" s="8">
        <v>18500</v>
      </c>
      <c r="D36" s="7" t="s">
        <v>33</v>
      </c>
    </row>
    <row r="37" spans="1:4" x14ac:dyDescent="0.25">
      <c r="A37" s="4" t="s">
        <v>14</v>
      </c>
      <c r="B37" s="2" t="s">
        <v>32</v>
      </c>
      <c r="C37" s="8">
        <v>19000</v>
      </c>
      <c r="D37" s="7" t="s">
        <v>31</v>
      </c>
    </row>
    <row r="38" spans="1:4" x14ac:dyDescent="0.25">
      <c r="A38" s="4" t="s">
        <v>10</v>
      </c>
      <c r="B38" s="2" t="s">
        <v>30</v>
      </c>
      <c r="C38" s="8">
        <v>21000</v>
      </c>
      <c r="D38" s="7" t="s">
        <v>29</v>
      </c>
    </row>
    <row r="39" spans="1:4" x14ac:dyDescent="0.25">
      <c r="A39" s="4" t="s">
        <v>12</v>
      </c>
      <c r="B39" s="2" t="s">
        <v>28</v>
      </c>
      <c r="C39" s="8">
        <v>25000</v>
      </c>
      <c r="D39" s="7" t="s">
        <v>27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50" zoomScaleNormal="150" workbookViewId="0">
      <selection activeCell="D2" sqref="D2"/>
    </sheetView>
  </sheetViews>
  <sheetFormatPr defaultColWidth="26" defaultRowHeight="15" x14ac:dyDescent="0.25"/>
  <cols>
    <col min="1" max="1" width="11.5703125" bestFit="1" customWidth="1"/>
    <col min="2" max="2" width="13" customWidth="1"/>
    <col min="3" max="3" width="18.5703125" customWidth="1"/>
    <col min="4" max="4" width="25" customWidth="1"/>
  </cols>
  <sheetData>
    <row r="1" spans="1:5" x14ac:dyDescent="0.25">
      <c r="A1" s="6" t="s">
        <v>26</v>
      </c>
      <c r="B1" s="6" t="s">
        <v>25</v>
      </c>
      <c r="C1" s="6" t="s">
        <v>24</v>
      </c>
      <c r="D1" s="5" t="s">
        <v>23</v>
      </c>
    </row>
    <row r="2" spans="1:5" x14ac:dyDescent="0.25">
      <c r="A2" s="4" t="s">
        <v>22</v>
      </c>
      <c r="B2" s="3" t="s">
        <v>21</v>
      </c>
      <c r="C2" s="2" t="s">
        <v>0</v>
      </c>
      <c r="D2" s="1" t="str">
        <f>INDEX(Sheet10!$D$2:$D$9,MATCH(A2,Sheet10!$A$2:$A$9,0))</f>
        <v>Mumbai</v>
      </c>
      <c r="E2" t="str">
        <f>IFERROR(INDEX(Sheet10!$D$2:$D$9,MATCH(Sheet9!A2,Sheet10!$A$2:$A$9,0)),"")</f>
        <v>Mumbai</v>
      </c>
    </row>
    <row r="3" spans="1:5" x14ac:dyDescent="0.25">
      <c r="A3" s="4" t="s">
        <v>20</v>
      </c>
      <c r="B3" s="3" t="s">
        <v>19</v>
      </c>
      <c r="C3" s="2" t="s">
        <v>6</v>
      </c>
      <c r="D3" s="1" t="str">
        <f>INDEX(Sheet10!$D$2:$D$9,MATCH(A3,Sheet10!$A$2:$A$9,0))</f>
        <v>Chennai</v>
      </c>
      <c r="E3" t="str">
        <f>IFERROR(INDEX(Sheet10!$D$2:$D$9,MATCH(Sheet9!A3,Sheet10!$A$2:$A$9,0)),"")</f>
        <v>Chennai</v>
      </c>
    </row>
    <row r="4" spans="1:5" x14ac:dyDescent="0.25">
      <c r="A4" s="4" t="s">
        <v>18</v>
      </c>
      <c r="B4" s="3" t="s">
        <v>17</v>
      </c>
      <c r="C4" s="2" t="s">
        <v>3</v>
      </c>
      <c r="D4" s="1" t="str">
        <f>INDEX(Sheet10!$D$2:$D$9,MATCH(A4,Sheet10!$A$2:$A$9,0))</f>
        <v>Delhi</v>
      </c>
      <c r="E4" t="str">
        <f>IFERROR(INDEX(Sheet10!$D$2:$D$9,MATCH(Sheet9!A4,Sheet10!$A$2:$A$9,0)),"")</f>
        <v>Delhi</v>
      </c>
    </row>
    <row r="5" spans="1:5" x14ac:dyDescent="0.25">
      <c r="A5" s="4" t="s">
        <v>16</v>
      </c>
      <c r="B5" s="3" t="s">
        <v>15</v>
      </c>
      <c r="C5" s="2" t="s">
        <v>3</v>
      </c>
      <c r="D5" s="1" t="str">
        <f>INDEX(Sheet10!$D$2:$D$9,MATCH(A5,Sheet10!$A$2:$A$9,0))</f>
        <v>Kolkata</v>
      </c>
      <c r="E5" t="str">
        <f>IFERROR(INDEX(Sheet10!$D$2:$D$9,MATCH(Sheet9!A5,Sheet10!$A$2:$A$9,0)),"")</f>
        <v>Kolkata</v>
      </c>
    </row>
    <row r="6" spans="1:5" x14ac:dyDescent="0.25">
      <c r="A6" s="4" t="s">
        <v>14</v>
      </c>
      <c r="B6" s="3" t="s">
        <v>13</v>
      </c>
      <c r="C6" s="2" t="s">
        <v>6</v>
      </c>
      <c r="D6" s="1" t="str">
        <f>INDEX(Sheet10!$D$2:$D$9,MATCH(A6,Sheet10!$A$2:$A$9,0))</f>
        <v>Ahmadabad</v>
      </c>
      <c r="E6" t="str">
        <f>IFERROR(INDEX(Sheet10!$D$2:$D$9,MATCH(Sheet9!A6,Sheet10!$A$2:$A$9,0)),"")</f>
        <v>Ahmadabad</v>
      </c>
    </row>
    <row r="7" spans="1:5" x14ac:dyDescent="0.25">
      <c r="A7" s="4" t="s">
        <v>12</v>
      </c>
      <c r="B7" s="3" t="s">
        <v>11</v>
      </c>
      <c r="C7" s="2" t="s">
        <v>6</v>
      </c>
      <c r="D7" s="1" t="str">
        <f>INDEX(Sheet10!$D$2:$D$9,MATCH(A7,Sheet10!$A$2:$A$9,0))</f>
        <v>Noida</v>
      </c>
      <c r="E7" t="str">
        <f>IFERROR(INDEX(Sheet10!$D$2:$D$9,MATCH(Sheet9!A7,Sheet10!$A$2:$A$9,0)),"")</f>
        <v>Noida</v>
      </c>
    </row>
    <row r="8" spans="1:5" x14ac:dyDescent="0.25">
      <c r="A8" s="4" t="s">
        <v>10</v>
      </c>
      <c r="B8" s="3" t="s">
        <v>9</v>
      </c>
      <c r="C8" s="2" t="s">
        <v>3</v>
      </c>
      <c r="D8" s="1" t="str">
        <f>INDEX(Sheet10!$D$2:$D$9,MATCH(A8,Sheet10!$A$2:$A$9,0))</f>
        <v>Chennai</v>
      </c>
      <c r="E8" t="str">
        <f>IFERROR(INDEX(Sheet10!$D$2:$D$9,MATCH(Sheet9!A8,Sheet10!$A$2:$A$9,0)),"")</f>
        <v>Chennai</v>
      </c>
    </row>
    <row r="9" spans="1:5" x14ac:dyDescent="0.25">
      <c r="A9" s="4" t="s">
        <v>8</v>
      </c>
      <c r="B9" s="3" t="s">
        <v>7</v>
      </c>
      <c r="C9" s="2" t="s">
        <v>6</v>
      </c>
      <c r="D9" s="1" t="str">
        <f>INDEX(Sheet10!$D$2:$D$9,MATCH(A9,Sheet10!$A$2:$A$9,0))</f>
        <v>Hyderabad</v>
      </c>
      <c r="E9" t="str">
        <f>IFERROR(INDEX(Sheet10!$D$2:$D$9,MATCH(Sheet9!A9,Sheet10!$A$2:$A$9,0)),"")</f>
        <v>Hyderabad</v>
      </c>
    </row>
    <row r="10" spans="1:5" x14ac:dyDescent="0.25">
      <c r="A10" s="4" t="s">
        <v>5</v>
      </c>
      <c r="B10" s="3" t="s">
        <v>4</v>
      </c>
      <c r="C10" s="2" t="s">
        <v>3</v>
      </c>
      <c r="D10" s="1" t="e">
        <f>INDEX(Sheet10!$D$2:$D$9,MATCH(A10,Sheet10!$A$2:$A$9,0))</f>
        <v>#N/A</v>
      </c>
      <c r="E10" t="str">
        <f>IFERROR(INDEX(Sheet10!$D$2:$D$9,MATCH(Sheet9!A10,Sheet10!$A$2:$A$9,0)),"")</f>
        <v/>
      </c>
    </row>
    <row r="11" spans="1:5" x14ac:dyDescent="0.25">
      <c r="A11" s="4" t="s">
        <v>2</v>
      </c>
      <c r="B11" s="3" t="s">
        <v>1</v>
      </c>
      <c r="C11" s="2" t="s">
        <v>0</v>
      </c>
      <c r="D11" s="1" t="e">
        <f>INDEX(Sheet10!$D$2:$D$9,MATCH(A11,Sheet10!$A$2:$A$9,0))</f>
        <v>#N/A</v>
      </c>
      <c r="E11" t="str">
        <f>IFERROR(INDEX(Sheet10!$D$2:$D$9,MATCH(Sheet9!A11,Sheet10!$A$2:$A$9,0)),"")</f>
        <v/>
      </c>
    </row>
  </sheetData>
  <dataValidations count="1">
    <dataValidation type="list" allowBlank="1" showInputMessage="1" showErrorMessage="1" sqref="C2:C11">
      <formula1>"Permanent, Temporary, Contract"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145" zoomScaleNormal="145" workbookViewId="0">
      <selection activeCell="D7" sqref="D7"/>
    </sheetView>
  </sheetViews>
  <sheetFormatPr defaultRowHeight="15" x14ac:dyDescent="0.25"/>
  <cols>
    <col min="1" max="1" width="17.140625" customWidth="1"/>
    <col min="2" max="2" width="19.7109375" bestFit="1" customWidth="1"/>
    <col min="4" max="4" width="16.42578125" customWidth="1"/>
  </cols>
  <sheetData>
    <row r="1" spans="1:4" x14ac:dyDescent="0.25">
      <c r="A1" s="6" t="s">
        <v>26</v>
      </c>
      <c r="B1" s="6" t="s">
        <v>43</v>
      </c>
      <c r="C1" s="6" t="s">
        <v>42</v>
      </c>
      <c r="D1" s="6" t="s">
        <v>41</v>
      </c>
    </row>
    <row r="2" spans="1:4" x14ac:dyDescent="0.25">
      <c r="A2" s="4" t="s">
        <v>16</v>
      </c>
      <c r="B2" s="2" t="s">
        <v>40</v>
      </c>
      <c r="C2" s="8">
        <v>13500</v>
      </c>
      <c r="D2" s="7" t="s">
        <v>39</v>
      </c>
    </row>
    <row r="3" spans="1:4" x14ac:dyDescent="0.25">
      <c r="A3" s="4" t="s">
        <v>22</v>
      </c>
      <c r="B3" s="2" t="s">
        <v>36</v>
      </c>
      <c r="C3" s="8">
        <v>16500</v>
      </c>
      <c r="D3" s="7" t="s">
        <v>38</v>
      </c>
    </row>
    <row r="4" spans="1:4" x14ac:dyDescent="0.25">
      <c r="A4" s="4" t="s">
        <v>20</v>
      </c>
      <c r="B4" s="2" t="s">
        <v>37</v>
      </c>
      <c r="C4" s="8">
        <v>17400</v>
      </c>
      <c r="D4" s="7" t="s">
        <v>29</v>
      </c>
    </row>
    <row r="5" spans="1:4" x14ac:dyDescent="0.25">
      <c r="A5" s="4" t="s">
        <v>8</v>
      </c>
      <c r="B5" s="2" t="s">
        <v>36</v>
      </c>
      <c r="C5" s="8">
        <v>17500</v>
      </c>
      <c r="D5" s="7" t="s">
        <v>35</v>
      </c>
    </row>
    <row r="6" spans="1:4" x14ac:dyDescent="0.25">
      <c r="A6" s="4" t="s">
        <v>18</v>
      </c>
      <c r="B6" s="2" t="s">
        <v>34</v>
      </c>
      <c r="C6" s="8">
        <v>18500</v>
      </c>
      <c r="D6" s="7" t="s">
        <v>33</v>
      </c>
    </row>
    <row r="7" spans="1:4" x14ac:dyDescent="0.25">
      <c r="A7" s="4" t="s">
        <v>14</v>
      </c>
      <c r="B7" s="2" t="s">
        <v>32</v>
      </c>
      <c r="C7" s="8">
        <v>19000</v>
      </c>
      <c r="D7" s="7" t="s">
        <v>31</v>
      </c>
    </row>
    <row r="8" spans="1:4" x14ac:dyDescent="0.25">
      <c r="A8" s="4" t="s">
        <v>10</v>
      </c>
      <c r="B8" s="2" t="s">
        <v>30</v>
      </c>
      <c r="C8" s="8">
        <v>21000</v>
      </c>
      <c r="D8" s="7" t="s">
        <v>29</v>
      </c>
    </row>
    <row r="9" spans="1:4" x14ac:dyDescent="0.25">
      <c r="A9" s="4" t="s">
        <v>12</v>
      </c>
      <c r="B9" s="2" t="s">
        <v>28</v>
      </c>
      <c r="C9" s="8">
        <v>25000</v>
      </c>
      <c r="D9" s="7" t="s">
        <v>27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match</vt:lpstr>
      <vt:lpstr>Sheet9</vt:lpstr>
      <vt:lpstr>Sheet10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2024-01-30T16:36:04Z</dcterms:created>
  <dcterms:modified xsi:type="dcterms:W3CDTF">2024-01-30T16:39:42Z</dcterms:modified>
</cp:coreProperties>
</file>