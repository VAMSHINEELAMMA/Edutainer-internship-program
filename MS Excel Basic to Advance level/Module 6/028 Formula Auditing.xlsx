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Formula audting" sheetId="1" r:id="rId1"/>
    <sheet name="Formula auditing 2" sheetId="2" r:id="rId2"/>
    <sheet name="Formula auditing 3" sheetId="3" r:id="rId3"/>
    <sheet name="Formula Auditing 4" sheetId="4" r:id="rId4"/>
    <sheet name="Formula Auditing 5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'Formula audting'!$A$1:$G$11</definedName>
    <definedName name="aaaaaa">#REF!</definedName>
    <definedName name="amarks">#REF!</definedName>
    <definedName name="cost" localSheetId="2">[1]Sheet22!$D$4</definedName>
    <definedName name="cost">[2]Sheet22!$D$4</definedName>
    <definedName name="criteria1">'[3]Advance filter'!#REF!</definedName>
    <definedName name="Employee_ID">"sheet34!a1:a10"</definedName>
    <definedName name="etype" localSheetId="3">'[4]Data validation'!$G$29:$G$31</definedName>
    <definedName name="etype" localSheetId="4">'[4]Data validation'!$G$29:$G$31</definedName>
    <definedName name="etype">'[5]Data validation'!$G$29:$G$31</definedName>
    <definedName name="GST" localSheetId="3">#REF!</definedName>
    <definedName name="GST" localSheetId="4">#REF!</definedName>
    <definedName name="GST">'[7]relative and absolute reference'!$D$1</definedName>
    <definedName name="lap_price" localSheetId="2">#REF!</definedName>
    <definedName name="lap_price" localSheetId="3">#REF!</definedName>
    <definedName name="lap_price" localSheetId="4">#REF!</definedName>
    <definedName name="lap_price">#REF!</definedName>
    <definedName name="lap_price2">#REF!</definedName>
    <definedName name="lap_qty" localSheetId="2">#REF!</definedName>
    <definedName name="lap_qty" localSheetId="3">#REF!</definedName>
    <definedName name="lap_qty" localSheetId="4">#REF!</definedName>
    <definedName name="lap_qty">#REF!</definedName>
    <definedName name="laptop_price">#REF!</definedName>
    <definedName name="Laptop_qty">#REF!</definedName>
    <definedName name="laptopprice">#REF!</definedName>
    <definedName name="marks_list" localSheetId="3">#REF!</definedName>
    <definedName name="marks_list" localSheetId="4">#REF!</definedName>
    <definedName name="marks_list">#REF!</definedName>
    <definedName name="marks_list1">#REF!</definedName>
    <definedName name="markslist">#REF!</definedName>
    <definedName name="mobileprice" localSheetId="3">#REF!</definedName>
    <definedName name="mobileprice" localSheetId="4">#REF!</definedName>
    <definedName name="mobileprice">'[7]relative and absolute reference'!$C$4:$C$8</definedName>
    <definedName name="PF" localSheetId="3">[8]Sheet15!$B$3</definedName>
    <definedName name="PF" localSheetId="4">[8]Sheet15!$B$3</definedName>
    <definedName name="PF">[7]Sheet15!$B$3</definedName>
    <definedName name="Price" localSheetId="3">#REF!</definedName>
    <definedName name="Price" localSheetId="4">#REF!</definedName>
    <definedName name="Price">'[7]relative and absolute reference'!$C$38</definedName>
    <definedName name="qty" localSheetId="2">[1]Sheet22!$D$5</definedName>
    <definedName name="qty">[2]Sheet22!$D$5</definedName>
    <definedName name="quantity" localSheetId="3">#REF!</definedName>
    <definedName name="quantity" localSheetId="4">#REF!</definedName>
    <definedName name="quantity">'[7]relative and absolute reference'!$C$39</definedName>
    <definedName name="salary" localSheetId="2">[1]Sheet22!$F$2:$F$6</definedName>
    <definedName name="salary">[2]Sheet22!$F$2:$F$6</definedName>
    <definedName name="salesvalue">[9]Sheet25!$E$3:$E$10</definedName>
    <definedName name="totaltax" localSheetId="3">#REF!</definedName>
    <definedName name="totaltax" localSheetId="4">#REF!</definedName>
    <definedName name="totaltax">'[7]relative and absolute reference'!$D$4:$D$8</definedName>
    <definedName name="Z_4A41623D_F32B_4D0C_A66F_ED5102892AEF_.wvu.FilterData" localSheetId="0" hidden="1">'Formula audting'!$A$1:$G$11</definedName>
    <definedName name="Z_9248CEC2_F63F_4CBD_A218_D7A1341C30A4_.wvu.FilterData" localSheetId="0" hidden="1">'Formula audting'!$A$1:$G$11</definedName>
    <definedName name="Z_A7785CAB_B138_4C42_97F4_1E6C2C63E74B_.wvu.FilterData" localSheetId="0" hidden="1">'Formula audting'!$A$1:$G$11</definedName>
    <definedName name="Z_DDC982DC_6E85_4FB6_9D39_3AB67358F89C_.wvu.FilterData" localSheetId="0" hidden="1">'Formula audting'!$A$1:$G$11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" l="1"/>
  <c r="D5" i="2"/>
  <c r="D6" i="2"/>
  <c r="D7" i="2"/>
  <c r="D8" i="2"/>
  <c r="D4" i="2"/>
  <c r="E3" i="4"/>
  <c r="E4" i="4"/>
  <c r="E5" i="4"/>
  <c r="E6" i="4"/>
  <c r="E7" i="4"/>
  <c r="E8" i="4"/>
  <c r="E9" i="4"/>
  <c r="E10" i="4"/>
  <c r="E11" i="4"/>
  <c r="E2" i="4"/>
  <c r="D11" i="4"/>
  <c r="D10" i="4"/>
  <c r="D9" i="4"/>
  <c r="D8" i="4"/>
  <c r="D7" i="4"/>
  <c r="D6" i="4"/>
  <c r="D5" i="4"/>
  <c r="D4" i="4"/>
  <c r="D3" i="4"/>
  <c r="D2" i="4"/>
  <c r="B55" i="2" l="1"/>
  <c r="J11" i="3"/>
  <c r="H11" i="3"/>
  <c r="G11" i="3"/>
  <c r="F11" i="3"/>
  <c r="J10" i="3"/>
  <c r="H10" i="3"/>
  <c r="G10" i="3"/>
  <c r="F10" i="3"/>
  <c r="I10" i="3" s="1"/>
  <c r="K10" i="3" s="1"/>
  <c r="J9" i="3"/>
  <c r="H9" i="3"/>
  <c r="G9" i="3"/>
  <c r="F9" i="3"/>
  <c r="J8" i="3"/>
  <c r="H8" i="3"/>
  <c r="G8" i="3"/>
  <c r="F8" i="3"/>
  <c r="I8" i="3" s="1"/>
  <c r="K8" i="3" s="1"/>
  <c r="J7" i="3"/>
  <c r="H7" i="3"/>
  <c r="G7" i="3"/>
  <c r="F7" i="3"/>
  <c r="J6" i="3"/>
  <c r="H6" i="3"/>
  <c r="G6" i="3"/>
  <c r="F6" i="3"/>
  <c r="I6" i="3" s="1"/>
  <c r="K6" i="3" s="1"/>
  <c r="J5" i="3"/>
  <c r="H5" i="3"/>
  <c r="G5" i="3"/>
  <c r="F5" i="3"/>
  <c r="J4" i="3"/>
  <c r="H4" i="3"/>
  <c r="G4" i="3"/>
  <c r="F4" i="3"/>
  <c r="I4" i="3" s="1"/>
  <c r="K4" i="3" s="1"/>
  <c r="J3" i="3"/>
  <c r="H3" i="3"/>
  <c r="G3" i="3"/>
  <c r="F3" i="3"/>
  <c r="J2" i="3"/>
  <c r="H2" i="3"/>
  <c r="G2" i="3"/>
  <c r="F2" i="3"/>
  <c r="I2" i="3" s="1"/>
  <c r="K2" i="3" s="1"/>
  <c r="B47" i="2"/>
  <c r="C41" i="2"/>
  <c r="F37" i="2"/>
  <c r="E29" i="2"/>
  <c r="E25" i="2"/>
  <c r="D25" i="2"/>
  <c r="F21" i="2"/>
  <c r="A21" i="2"/>
  <c r="G19" i="2"/>
  <c r="D19" i="2"/>
  <c r="D18" i="2"/>
  <c r="G15" i="2"/>
  <c r="D15" i="2"/>
  <c r="D14" i="2"/>
  <c r="G13" i="2"/>
  <c r="E13" i="2"/>
  <c r="D13" i="2"/>
  <c r="C10" i="2"/>
  <c r="E4" i="2"/>
  <c r="C15" i="1"/>
  <c r="E14" i="1"/>
  <c r="D14" i="1"/>
  <c r="C14" i="1"/>
  <c r="E13" i="1"/>
  <c r="D13" i="1"/>
  <c r="C13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H4" i="1"/>
  <c r="G4" i="1"/>
  <c r="F4" i="1"/>
  <c r="G3" i="1"/>
  <c r="H3" i="1" s="1"/>
  <c r="F3" i="1"/>
  <c r="G2" i="1"/>
  <c r="G14" i="1" s="1"/>
  <c r="F2" i="1"/>
  <c r="F14" i="1" s="1"/>
  <c r="I5" i="3" l="1"/>
  <c r="K5" i="3" s="1"/>
  <c r="I7" i="3"/>
  <c r="K7" i="3" s="1"/>
  <c r="I9" i="3"/>
  <c r="K9" i="3" s="1"/>
  <c r="I11" i="3"/>
  <c r="K11" i="3" s="1"/>
  <c r="I3" i="3"/>
  <c r="K3" i="3" s="1"/>
  <c r="F13" i="1"/>
  <c r="H2" i="1"/>
  <c r="G13" i="1"/>
</calcChain>
</file>

<file path=xl/sharedStrings.xml><?xml version="1.0" encoding="utf-8"?>
<sst xmlns="http://schemas.openxmlformats.org/spreadsheetml/2006/main" count="186" uniqueCount="112">
  <si>
    <t>SL No</t>
  </si>
  <si>
    <t>Student Name</t>
  </si>
  <si>
    <t>Written test</t>
  </si>
  <si>
    <t>Interview</t>
  </si>
  <si>
    <t>Practicals</t>
  </si>
  <si>
    <t>Total</t>
  </si>
  <si>
    <t>Average</t>
  </si>
  <si>
    <t xml:space="preserve">Rounded </t>
  </si>
  <si>
    <t>Avinash</t>
  </si>
  <si>
    <t>Mahadev</t>
  </si>
  <si>
    <t>Manoj</t>
  </si>
  <si>
    <t>Ravi</t>
  </si>
  <si>
    <t>Vasanth</t>
  </si>
  <si>
    <t>Mahesh</t>
  </si>
  <si>
    <t>Rajesh</t>
  </si>
  <si>
    <t>Sanjeev</t>
  </si>
  <si>
    <t>Vinod</t>
  </si>
  <si>
    <t>Daya</t>
  </si>
  <si>
    <t>max</t>
  </si>
  <si>
    <t>min</t>
  </si>
  <si>
    <t>Tax</t>
  </si>
  <si>
    <t>SL NO</t>
  </si>
  <si>
    <t>Product Name</t>
  </si>
  <si>
    <t>Price</t>
  </si>
  <si>
    <t>Tax amount</t>
  </si>
  <si>
    <t>Nokia</t>
  </si>
  <si>
    <t>Samsung</t>
  </si>
  <si>
    <t>Micromax</t>
  </si>
  <si>
    <t>Lenova</t>
  </si>
  <si>
    <t>Motorola</t>
  </si>
  <si>
    <t>Laptops</t>
  </si>
  <si>
    <t>Qty</t>
  </si>
  <si>
    <t>Salary</t>
  </si>
  <si>
    <t>PF</t>
  </si>
  <si>
    <t>Emp Id</t>
  </si>
  <si>
    <t>Emp Name</t>
  </si>
  <si>
    <t>Designation</t>
  </si>
  <si>
    <t>City type</t>
  </si>
  <si>
    <t>Basic</t>
  </si>
  <si>
    <t>DA</t>
  </si>
  <si>
    <t>HRA</t>
  </si>
  <si>
    <t>TA</t>
  </si>
  <si>
    <t>Gross salary</t>
  </si>
  <si>
    <t>PT</t>
  </si>
  <si>
    <t>Insurance</t>
  </si>
  <si>
    <t>Deduction Total</t>
  </si>
  <si>
    <t>Net Salary</t>
  </si>
  <si>
    <t>E001</t>
  </si>
  <si>
    <t>Naveen</t>
  </si>
  <si>
    <t>Manager</t>
  </si>
  <si>
    <t>A</t>
  </si>
  <si>
    <t>E002</t>
  </si>
  <si>
    <t>Vinay</t>
  </si>
  <si>
    <t>Sales Manager</t>
  </si>
  <si>
    <t>B</t>
  </si>
  <si>
    <t>E003</t>
  </si>
  <si>
    <t>Administrator</t>
  </si>
  <si>
    <t>E004</t>
  </si>
  <si>
    <t>Anand</t>
  </si>
  <si>
    <t>Trainer</t>
  </si>
  <si>
    <t>E005</t>
  </si>
  <si>
    <t>Mahendra</t>
  </si>
  <si>
    <t>Coordinator</t>
  </si>
  <si>
    <t>C</t>
  </si>
  <si>
    <t>E006</t>
  </si>
  <si>
    <t>Kumar</t>
  </si>
  <si>
    <t>Clerk</t>
  </si>
  <si>
    <t>E007</t>
  </si>
  <si>
    <t>E008</t>
  </si>
  <si>
    <t>Sanjana</t>
  </si>
  <si>
    <t>E009</t>
  </si>
  <si>
    <t>Pooja</t>
  </si>
  <si>
    <t>Sales rep</t>
  </si>
  <si>
    <t>E010</t>
  </si>
  <si>
    <t>Marketing Executive</t>
  </si>
  <si>
    <t>52% of basic</t>
  </si>
  <si>
    <t>City type A, 25% of Basic
City type B, 15% of Basic
City type C, 10% of Basic</t>
  </si>
  <si>
    <t>8% of Basic</t>
  </si>
  <si>
    <t>12.5% of Basic</t>
  </si>
  <si>
    <t>Gross Salary &lt;=10000,100
Gross Salary &gt;10000 and &lt;=20000 ,200
Gross Salary &gt; 20000,300</t>
  </si>
  <si>
    <t>Employee ID</t>
  </si>
  <si>
    <t>Name</t>
  </si>
  <si>
    <t>TYPE</t>
  </si>
  <si>
    <t>DEPARTMENT</t>
  </si>
  <si>
    <t>A001</t>
  </si>
  <si>
    <t>Vinaykumar</t>
  </si>
  <si>
    <t>Permanent</t>
  </si>
  <si>
    <t>A002</t>
  </si>
  <si>
    <t>Rajeev</t>
  </si>
  <si>
    <t>Temporary</t>
  </si>
  <si>
    <t>A003</t>
  </si>
  <si>
    <t>Prasad</t>
  </si>
  <si>
    <t>Contract</t>
  </si>
  <si>
    <t>A004</t>
  </si>
  <si>
    <t>Sunitha</t>
  </si>
  <si>
    <t>A005</t>
  </si>
  <si>
    <t>Robert</t>
  </si>
  <si>
    <t>A006</t>
  </si>
  <si>
    <t>A007</t>
  </si>
  <si>
    <t>A008</t>
  </si>
  <si>
    <t>Robin</t>
  </si>
  <si>
    <t>A009</t>
  </si>
  <si>
    <t>Venkatesh</t>
  </si>
  <si>
    <t>A010</t>
  </si>
  <si>
    <t>Vivek</t>
  </si>
  <si>
    <t>Quality</t>
  </si>
  <si>
    <t>Marketing</t>
  </si>
  <si>
    <t>Training</t>
  </si>
  <si>
    <t>Administration</t>
  </si>
  <si>
    <t>Human Resource</t>
  </si>
  <si>
    <t>A012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</si>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</sst>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rgb="FFFF0000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46D0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2" fontId="0" fillId="0" borderId="1" xfId="0" quotePrefix="1" applyNumberFormat="1" applyBorder="1"/>
    <xf numFmtId="2" fontId="0" fillId="0" borderId="1" xfId="0" applyNumberForma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2" fontId="0" fillId="0" borderId="0" xfId="0" applyNumberFormat="1"/>
    <xf numFmtId="0" fontId="4" fillId="0" borderId="0" xfId="0" applyFont="1" applyFill="1" applyBorder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9" fontId="2" fillId="0" borderId="1" xfId="0" applyNumberFormat="1" applyFont="1" applyBorder="1"/>
    <xf numFmtId="0" fontId="2" fillId="0" borderId="1" xfId="0" applyFont="1" applyBorder="1"/>
    <xf numFmtId="0" fontId="2" fillId="0" borderId="1" xfId="0" quotePrefix="1" applyFont="1" applyBorder="1"/>
    <xf numFmtId="2" fontId="2" fillId="0" borderId="1" xfId="0" applyNumberFormat="1" applyFont="1" applyBorder="1"/>
    <xf numFmtId="0" fontId="2" fillId="0" borderId="1" xfId="0" applyFont="1" applyFill="1" applyBorder="1"/>
    <xf numFmtId="0" fontId="2" fillId="0" borderId="0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5" fillId="0" borderId="1" xfId="0" quotePrefix="1" applyFont="1" applyBorder="1" applyAlignment="1">
      <alignment wrapText="1"/>
    </xf>
    <xf numFmtId="1" fontId="0" fillId="0" borderId="1" xfId="0" quotePrefix="1" applyNumberFormat="1" applyBorder="1" applyAlignment="1">
      <alignment wrapText="1"/>
    </xf>
    <xf numFmtId="0" fontId="0" fillId="0" borderId="1" xfId="0" applyBorder="1" applyAlignment="1">
      <alignment wrapText="1"/>
    </xf>
    <xf numFmtId="1" fontId="1" fillId="0" borderId="1" xfId="0" quotePrefix="1" applyNumberFormat="1" applyFont="1" applyBorder="1" applyAlignment="1">
      <alignment wrapText="1"/>
    </xf>
    <xf numFmtId="2" fontId="0" fillId="0" borderId="1" xfId="0" quotePrefix="1" applyNumberForma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0" xfId="0" applyFill="1"/>
    <xf numFmtId="0" fontId="0" fillId="0" borderId="0" xfId="0" applyFill="1" applyBorder="1" applyAlignment="1">
      <alignment horizontal="left"/>
    </xf>
    <xf numFmtId="0" fontId="6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rinath\Bhims%202016\Sample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9-05-2018/excel%20demo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Demo%20Exce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9-05-2018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010%20Lookup%20fun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Chart6"/>
      <sheetName val="sales data"/>
      <sheetName val="Chart7"/>
      <sheetName val="pie data"/>
      <sheetName val="Chart8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vlookup"/>
      <sheetName val="vlookup2"/>
      <sheetName val="sheet5"/>
      <sheetName val="sheet6"/>
      <sheetName val="vlookup3"/>
      <sheetName val="vlookup4"/>
      <sheetName val="vlookup5"/>
      <sheetName val="Sheet11"/>
      <sheetName val="Sheet12"/>
      <sheetName val="Sheet7"/>
      <sheetName val="Pivot data"/>
      <sheetName val="Database functions and comments"/>
      <sheetName val="Chart9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on - General"/>
      <sheetName val="Navigation"/>
      <sheetName val="Selection"/>
      <sheetName val="Ribbon"/>
      <sheetName val="Entering data"/>
      <sheetName val="Rows and columns"/>
      <sheetName val="Worsheet"/>
      <sheetName val="Workbook"/>
      <sheetName val="Excel Formulas"/>
      <sheetName val="frequency function"/>
      <sheetName val="employee details"/>
      <sheetName val="Sheet19"/>
      <sheetName val="Sheet18"/>
      <sheetName val="fill series"/>
      <sheetName val="simple calculation"/>
      <sheetName val="sorting and filter"/>
      <sheetName val="Chart1"/>
      <sheetName val="Chart2"/>
      <sheetName val="Conditional formatting"/>
      <sheetName val="round function"/>
      <sheetName val="relative and absolute reference"/>
      <sheetName val="if function"/>
      <sheetName val="salary statement"/>
      <sheetName val="printing in excel"/>
      <sheetName val="Flash fill"/>
      <sheetName val="text data"/>
      <sheetName val="Sales chart"/>
      <sheetName val="sales data"/>
      <sheetName val="PIE CHART GRAPH"/>
      <sheetName val="PIE CHART"/>
      <sheetName val="Sheet7"/>
      <sheetName val="Sheet8"/>
      <sheetName val="Advance filter"/>
      <sheetName val="Sheet10"/>
      <sheetName val="Data validation"/>
      <sheetName val="Sheet12"/>
      <sheetName val="Financial functions"/>
      <sheetName val="goal seek"/>
      <sheetName val="Sheet5"/>
      <sheetName val="Sheet6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7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data"/>
      <sheetName val="Fill series"/>
      <sheetName val="employee details"/>
      <sheetName val="Sheet3"/>
      <sheetName val="Sheet1 (2)"/>
      <sheetName val="sorting and filter"/>
      <sheetName val="Conditional formatting"/>
      <sheetName val="Simple Calculation"/>
      <sheetName val="Conditional formatting (2)"/>
      <sheetName val="relative and absolute reference"/>
      <sheetName val="Sheet15"/>
      <sheetName val="if function"/>
      <sheetName val="salary statement"/>
      <sheetName val="Printing options"/>
      <sheetName val="Chart8"/>
      <sheetName val="Chart9"/>
      <sheetName val="sales data"/>
      <sheetName val="Chart10"/>
      <sheetName val="pie data"/>
      <sheetName val="line chart data"/>
      <sheetName val="text data"/>
      <sheetName val="Advance filter"/>
      <sheetName val="Data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D1">
            <v>0.18</v>
          </cell>
        </row>
        <row r="4">
          <cell r="C4">
            <v>4500</v>
          </cell>
          <cell r="D4">
            <v>810</v>
          </cell>
        </row>
        <row r="5">
          <cell r="C5">
            <v>68500</v>
          </cell>
          <cell r="D5">
            <v>12330</v>
          </cell>
        </row>
        <row r="6">
          <cell r="C6">
            <v>4800</v>
          </cell>
          <cell r="D6">
            <v>864</v>
          </cell>
        </row>
        <row r="7">
          <cell r="C7">
            <v>8450</v>
          </cell>
          <cell r="D7">
            <v>1521</v>
          </cell>
        </row>
        <row r="8">
          <cell r="C8">
            <v>8450</v>
          </cell>
          <cell r="D8">
            <v>1521</v>
          </cell>
        </row>
        <row r="38">
          <cell r="C38">
            <v>28500</v>
          </cell>
        </row>
        <row r="39">
          <cell r="C39">
            <v>5</v>
          </cell>
        </row>
      </sheetData>
      <sheetData sheetId="10">
        <row r="3">
          <cell r="B3">
            <v>0.125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>
            <v>0.125</v>
          </cell>
        </row>
      </sheetData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"/>
      <sheetName val="vlookup2"/>
      <sheetName val="Sheet6"/>
      <sheetName val="Sheet7"/>
      <sheetName val="Sheet9"/>
      <sheetName val="Sheet10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Employee ID</v>
          </cell>
          <cell r="B1" t="str">
            <v>Name</v>
          </cell>
          <cell r="C1" t="str">
            <v>TYPE</v>
          </cell>
          <cell r="D1" t="str">
            <v>DEPARTMENT</v>
          </cell>
        </row>
        <row r="2">
          <cell r="A2" t="str">
            <v>A007</v>
          </cell>
          <cell r="B2" t="str">
            <v>Mahesh</v>
          </cell>
          <cell r="C2" t="str">
            <v>Contract</v>
          </cell>
          <cell r="D2" t="str">
            <v>Quality</v>
          </cell>
        </row>
        <row r="3">
          <cell r="A3" t="str">
            <v>A003</v>
          </cell>
          <cell r="B3" t="str">
            <v>Prasad</v>
          </cell>
          <cell r="C3" t="str">
            <v>Contract</v>
          </cell>
          <cell r="D3" t="str">
            <v>Marketing</v>
          </cell>
        </row>
        <row r="4">
          <cell r="A4" t="str">
            <v>A005</v>
          </cell>
          <cell r="B4" t="str">
            <v>Robert</v>
          </cell>
          <cell r="C4" t="str">
            <v>Temporary</v>
          </cell>
          <cell r="D4" t="str">
            <v>Training</v>
          </cell>
        </row>
        <row r="5">
          <cell r="A5" t="str">
            <v>A008</v>
          </cell>
          <cell r="B5" t="str">
            <v>Robin</v>
          </cell>
          <cell r="C5" t="str">
            <v>Temporary</v>
          </cell>
          <cell r="D5" t="str">
            <v>Administration</v>
          </cell>
        </row>
        <row r="6">
          <cell r="A6" t="str">
            <v>A004</v>
          </cell>
          <cell r="B6" t="str">
            <v>Sunitha</v>
          </cell>
          <cell r="C6" t="str">
            <v>Contract</v>
          </cell>
          <cell r="D6" t="str">
            <v>Human Resource</v>
          </cell>
        </row>
        <row r="7">
          <cell r="A7" t="str">
            <v>A012</v>
          </cell>
          <cell r="B7" t="str">
            <v>Vasanth</v>
          </cell>
          <cell r="C7" t="str">
            <v>Temporary</v>
          </cell>
          <cell r="D7" t="str">
            <v>Marketing</v>
          </cell>
        </row>
        <row r="8">
          <cell r="A8" t="str">
            <v>A009</v>
          </cell>
          <cell r="B8" t="str">
            <v>Venkatesh</v>
          </cell>
          <cell r="C8" t="str">
            <v>Contract</v>
          </cell>
          <cell r="D8" t="str">
            <v>Sales</v>
          </cell>
        </row>
        <row r="9">
          <cell r="A9" t="str">
            <v>A001</v>
          </cell>
          <cell r="B9" t="str">
            <v>Vinaykumar</v>
          </cell>
          <cell r="C9" t="str">
            <v>Permanent</v>
          </cell>
          <cell r="D9" t="str">
            <v>Administration</v>
          </cell>
        </row>
        <row r="10">
          <cell r="A10" t="str">
            <v>A010</v>
          </cell>
          <cell r="B10" t="str">
            <v>Vivek</v>
          </cell>
          <cell r="C10" t="str">
            <v>Permanent</v>
          </cell>
          <cell r="D10" t="str">
            <v>Marketing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130" zoomScaleNormal="130" workbookViewId="0">
      <selection activeCell="G2" sqref="G2"/>
    </sheetView>
  </sheetViews>
  <sheetFormatPr defaultRowHeight="15" x14ac:dyDescent="0.25"/>
  <cols>
    <col min="1" max="1" width="4" bestFit="1" customWidth="1"/>
    <col min="2" max="2" width="24.42578125" customWidth="1"/>
    <col min="3" max="3" width="15.28515625" bestFit="1" customWidth="1"/>
    <col min="4" max="4" width="13.5703125" customWidth="1"/>
    <col min="5" max="5" width="12.42578125" bestFit="1" customWidth="1"/>
    <col min="6" max="6" width="15.140625" customWidth="1"/>
    <col min="7" max="7" width="16" customWidth="1"/>
    <col min="8" max="8" width="11.5703125" customWidth="1"/>
  </cols>
  <sheetData>
    <row r="1" spans="1:8" ht="41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customHeight="1" x14ac:dyDescent="0.25">
      <c r="A2" s="3">
        <v>1</v>
      </c>
      <c r="B2" s="4" t="s">
        <v>8</v>
      </c>
      <c r="C2" s="3">
        <v>95</v>
      </c>
      <c r="D2" s="3">
        <v>48</v>
      </c>
      <c r="E2" s="3">
        <v>45</v>
      </c>
      <c r="F2" s="5">
        <f>SUM(C2:E2)</f>
        <v>188</v>
      </c>
      <c r="G2" s="6">
        <f>ROUND(AVERAGE(C2:E2),2)</f>
        <v>62.67</v>
      </c>
      <c r="H2" s="7">
        <f>ROUND(G2,2)</f>
        <v>62.67</v>
      </c>
    </row>
    <row r="3" spans="1:8" ht="18" customHeight="1" x14ac:dyDescent="0.25">
      <c r="A3" s="3">
        <v>2</v>
      </c>
      <c r="B3" s="4" t="s">
        <v>9</v>
      </c>
      <c r="C3" s="3">
        <v>25</v>
      </c>
      <c r="D3" s="3">
        <v>45</v>
      </c>
      <c r="E3" s="3">
        <v>85</v>
      </c>
      <c r="F3" s="5">
        <f t="shared" ref="F3:F11" si="0">SUM(C3:E3)</f>
        <v>155</v>
      </c>
      <c r="G3" s="6">
        <f t="shared" ref="G3:G11" si="1">AVERAGE(C3:E3)</f>
        <v>51.666666666666664</v>
      </c>
      <c r="H3" s="7">
        <f t="shared" ref="H3:H11" si="2">ROUND(G3,2)</f>
        <v>51.67</v>
      </c>
    </row>
    <row r="4" spans="1:8" ht="18" customHeight="1" x14ac:dyDescent="0.25">
      <c r="A4" s="3">
        <v>3</v>
      </c>
      <c r="B4" s="4" t="s">
        <v>10</v>
      </c>
      <c r="C4" s="3">
        <v>97</v>
      </c>
      <c r="D4" s="3">
        <v>96</v>
      </c>
      <c r="E4" s="3">
        <v>36</v>
      </c>
      <c r="F4" s="5">
        <f t="shared" si="0"/>
        <v>229</v>
      </c>
      <c r="G4" s="6">
        <f t="shared" si="1"/>
        <v>76.333333333333329</v>
      </c>
      <c r="H4" s="7">
        <f t="shared" si="2"/>
        <v>76.33</v>
      </c>
    </row>
    <row r="5" spans="1:8" ht="18" customHeight="1" x14ac:dyDescent="0.25">
      <c r="A5" s="3">
        <v>4</v>
      </c>
      <c r="B5" s="8" t="s">
        <v>11</v>
      </c>
      <c r="C5" s="3">
        <v>85</v>
      </c>
      <c r="D5" s="3">
        <v>32</v>
      </c>
      <c r="E5" s="3">
        <v>15</v>
      </c>
      <c r="F5" s="5">
        <f t="shared" si="0"/>
        <v>132</v>
      </c>
      <c r="G5" s="6">
        <f t="shared" si="1"/>
        <v>44</v>
      </c>
      <c r="H5" s="7">
        <f t="shared" si="2"/>
        <v>44</v>
      </c>
    </row>
    <row r="6" spans="1:8" ht="18" customHeight="1" x14ac:dyDescent="0.25">
      <c r="A6" s="3">
        <v>5</v>
      </c>
      <c r="B6" s="4" t="s">
        <v>12</v>
      </c>
      <c r="C6" s="3">
        <v>65</v>
      </c>
      <c r="D6" s="3">
        <v>85</v>
      </c>
      <c r="E6" s="3">
        <v>74</v>
      </c>
      <c r="F6" s="5">
        <f t="shared" si="0"/>
        <v>224</v>
      </c>
      <c r="G6" s="6">
        <f t="shared" si="1"/>
        <v>74.666666666666671</v>
      </c>
      <c r="H6" s="7">
        <f t="shared" si="2"/>
        <v>74.67</v>
      </c>
    </row>
    <row r="7" spans="1:8" ht="18" customHeight="1" x14ac:dyDescent="0.25">
      <c r="A7" s="3">
        <v>6</v>
      </c>
      <c r="B7" s="9" t="s">
        <v>13</v>
      </c>
      <c r="C7" s="3">
        <v>45</v>
      </c>
      <c r="D7" s="3">
        <v>75</v>
      </c>
      <c r="E7" s="3">
        <v>85</v>
      </c>
      <c r="F7" s="5">
        <f t="shared" si="0"/>
        <v>205</v>
      </c>
      <c r="G7" s="6">
        <f t="shared" si="1"/>
        <v>68.333333333333329</v>
      </c>
      <c r="H7" s="7">
        <f t="shared" si="2"/>
        <v>68.33</v>
      </c>
    </row>
    <row r="8" spans="1:8" ht="18" customHeight="1" x14ac:dyDescent="0.25">
      <c r="A8" s="3">
        <v>7</v>
      </c>
      <c r="B8" s="9" t="s">
        <v>14</v>
      </c>
      <c r="C8" s="3">
        <v>96</v>
      </c>
      <c r="D8" s="3">
        <v>85</v>
      </c>
      <c r="E8" s="3">
        <v>36</v>
      </c>
      <c r="F8" s="5">
        <f t="shared" si="0"/>
        <v>217</v>
      </c>
      <c r="G8" s="6">
        <f t="shared" si="1"/>
        <v>72.333333333333329</v>
      </c>
      <c r="H8" s="7">
        <f t="shared" si="2"/>
        <v>72.33</v>
      </c>
    </row>
    <row r="9" spans="1:8" ht="18" customHeight="1" x14ac:dyDescent="0.25">
      <c r="A9" s="3">
        <v>8</v>
      </c>
      <c r="B9" s="9" t="s">
        <v>15</v>
      </c>
      <c r="C9" s="3">
        <v>35</v>
      </c>
      <c r="D9" s="3">
        <v>58</v>
      </c>
      <c r="E9" s="3">
        <v>62</v>
      </c>
      <c r="F9" s="5">
        <f t="shared" si="0"/>
        <v>155</v>
      </c>
      <c r="G9" s="6">
        <f t="shared" si="1"/>
        <v>51.666666666666664</v>
      </c>
      <c r="H9" s="7">
        <f t="shared" si="2"/>
        <v>51.67</v>
      </c>
    </row>
    <row r="10" spans="1:8" ht="18" customHeight="1" x14ac:dyDescent="0.25">
      <c r="A10" s="3">
        <v>9</v>
      </c>
      <c r="B10" s="9" t="s">
        <v>16</v>
      </c>
      <c r="C10" s="3">
        <v>25</v>
      </c>
      <c r="D10" s="3">
        <v>59</v>
      </c>
      <c r="E10" s="3">
        <v>35</v>
      </c>
      <c r="F10" s="5">
        <f t="shared" si="0"/>
        <v>119</v>
      </c>
      <c r="G10" s="6">
        <f t="shared" si="1"/>
        <v>39.666666666666664</v>
      </c>
      <c r="H10" s="7">
        <f t="shared" si="2"/>
        <v>39.67</v>
      </c>
    </row>
    <row r="11" spans="1:8" ht="18" customHeight="1" x14ac:dyDescent="0.25">
      <c r="A11" s="3">
        <v>10</v>
      </c>
      <c r="B11" s="9" t="s">
        <v>17</v>
      </c>
      <c r="C11" s="3">
        <v>16</v>
      </c>
      <c r="D11" s="3">
        <v>74</v>
      </c>
      <c r="E11" s="3">
        <v>85</v>
      </c>
      <c r="F11" s="5">
        <f t="shared" si="0"/>
        <v>175</v>
      </c>
      <c r="G11" s="6">
        <f t="shared" si="1"/>
        <v>58.333333333333336</v>
      </c>
      <c r="H11" s="7">
        <f t="shared" si="2"/>
        <v>58.33</v>
      </c>
    </row>
    <row r="12" spans="1:8" x14ac:dyDescent="0.25">
      <c r="G12" s="10"/>
    </row>
    <row r="13" spans="1:8" x14ac:dyDescent="0.25">
      <c r="B13" s="11" t="s">
        <v>18</v>
      </c>
      <c r="C13" s="12">
        <f>MAX(C2:C11)</f>
        <v>97</v>
      </c>
      <c r="D13" s="12">
        <f t="shared" ref="D13:G13" si="3">MAX(D2:D11)</f>
        <v>96</v>
      </c>
      <c r="E13" s="12">
        <f t="shared" si="3"/>
        <v>85</v>
      </c>
      <c r="F13" s="12">
        <f t="shared" si="3"/>
        <v>229</v>
      </c>
      <c r="G13" s="13">
        <f t="shared" si="3"/>
        <v>76.333333333333329</v>
      </c>
    </row>
    <row r="14" spans="1:8" x14ac:dyDescent="0.25">
      <c r="B14" s="11" t="s">
        <v>19</v>
      </c>
      <c r="C14" s="12">
        <f>MIN(C2:C11)</f>
        <v>16</v>
      </c>
      <c r="D14" s="12">
        <f t="shared" ref="D14:G14" si="4">MIN(D2:D11)</f>
        <v>32</v>
      </c>
      <c r="E14" s="12">
        <f t="shared" si="4"/>
        <v>15</v>
      </c>
      <c r="F14" s="12">
        <f t="shared" si="4"/>
        <v>119</v>
      </c>
      <c r="G14" s="13">
        <f t="shared" si="4"/>
        <v>39.666666666666664</v>
      </c>
    </row>
    <row r="15" spans="1:8" x14ac:dyDescent="0.25">
      <c r="C15">
        <f>COUNT(C2:C11)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zoomScale="175" zoomScaleNormal="175" workbookViewId="0">
      <selection activeCell="D4" sqref="D4"/>
    </sheetView>
  </sheetViews>
  <sheetFormatPr defaultRowHeight="15" x14ac:dyDescent="0.25"/>
  <cols>
    <col min="2" max="2" width="13.7109375" bestFit="1" customWidth="1"/>
    <col min="4" max="4" width="13" customWidth="1"/>
    <col min="5" max="5" width="10.140625" bestFit="1" customWidth="1"/>
  </cols>
  <sheetData>
    <row r="1" spans="1:7" x14ac:dyDescent="0.25">
      <c r="C1" s="14" t="s">
        <v>20</v>
      </c>
      <c r="D1" s="15">
        <v>0.18</v>
      </c>
    </row>
    <row r="3" spans="1:7" x14ac:dyDescent="0.25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5</v>
      </c>
    </row>
    <row r="4" spans="1:7" x14ac:dyDescent="0.25">
      <c r="A4" s="16">
        <v>1</v>
      </c>
      <c r="B4" s="16" t="s">
        <v>25</v>
      </c>
      <c r="C4" s="16">
        <v>4500</v>
      </c>
      <c r="D4" s="17">
        <f>C4*$D$1</f>
        <v>810</v>
      </c>
      <c r="E4" s="18">
        <f>C4+D4</f>
        <v>5310</v>
      </c>
    </row>
    <row r="5" spans="1:7" x14ac:dyDescent="0.25">
      <c r="A5" s="16">
        <v>2</v>
      </c>
      <c r="B5" s="16" t="s">
        <v>26</v>
      </c>
      <c r="C5" s="16">
        <v>68500</v>
      </c>
      <c r="D5" s="17">
        <f t="shared" ref="D5:D8" si="0">C5*$D$1</f>
        <v>12330</v>
      </c>
      <c r="E5" s="18"/>
    </row>
    <row r="6" spans="1:7" x14ac:dyDescent="0.25">
      <c r="A6" s="16">
        <v>3</v>
      </c>
      <c r="B6" s="16" t="s">
        <v>27</v>
      </c>
      <c r="C6" s="16">
        <v>4800</v>
      </c>
      <c r="D6" s="17">
        <f t="shared" si="0"/>
        <v>864</v>
      </c>
      <c r="E6" s="18"/>
    </row>
    <row r="7" spans="1:7" x14ac:dyDescent="0.25">
      <c r="A7" s="16">
        <v>4</v>
      </c>
      <c r="B7" s="16" t="s">
        <v>28</v>
      </c>
      <c r="C7" s="16">
        <v>8450</v>
      </c>
      <c r="D7" s="17">
        <f t="shared" si="0"/>
        <v>1521</v>
      </c>
      <c r="E7" s="18"/>
    </row>
    <row r="8" spans="1:7" x14ac:dyDescent="0.25">
      <c r="A8" s="19">
        <v>5</v>
      </c>
      <c r="B8" s="16" t="s">
        <v>29</v>
      </c>
      <c r="C8" s="16">
        <v>8450</v>
      </c>
      <c r="D8" s="17">
        <f t="shared" si="0"/>
        <v>1521</v>
      </c>
      <c r="E8" s="18"/>
    </row>
    <row r="10" spans="1:7" x14ac:dyDescent="0.25">
      <c r="C10">
        <f>SUM(mobileprice)</f>
        <v>94700</v>
      </c>
      <c r="D10" s="20">
        <f>SUM(D4:D8)</f>
        <v>17046</v>
      </c>
    </row>
    <row r="12" spans="1:7" x14ac:dyDescent="0.25">
      <c r="B12">
        <v>10</v>
      </c>
    </row>
    <row r="13" spans="1:7" x14ac:dyDescent="0.25">
      <c r="D13">
        <f>$B12+$B14</f>
        <v>30</v>
      </c>
      <c r="E13">
        <f>$B12+$B14</f>
        <v>30</v>
      </c>
      <c r="G13">
        <f>$B$12+$B$14</f>
        <v>30</v>
      </c>
    </row>
    <row r="14" spans="1:7" x14ac:dyDescent="0.25">
      <c r="B14">
        <v>20</v>
      </c>
      <c r="D14">
        <f>$B13+$B15</f>
        <v>0</v>
      </c>
    </row>
    <row r="15" spans="1:7" x14ac:dyDescent="0.25">
      <c r="D15">
        <f>B12+B14</f>
        <v>30</v>
      </c>
      <c r="G15">
        <f>E12+E14</f>
        <v>0</v>
      </c>
    </row>
    <row r="18" spans="1:7" x14ac:dyDescent="0.25">
      <c r="D18">
        <f>$B$12+B$14</f>
        <v>30</v>
      </c>
    </row>
    <row r="19" spans="1:7" x14ac:dyDescent="0.25">
      <c r="D19">
        <f>$B$12+$B$14</f>
        <v>30</v>
      </c>
      <c r="G19">
        <f>$B$12+$B$14</f>
        <v>30</v>
      </c>
    </row>
    <row r="21" spans="1:7" x14ac:dyDescent="0.25">
      <c r="A21">
        <f>$B$12+$B$14</f>
        <v>30</v>
      </c>
      <c r="F21">
        <f>$B$24+$B$26</f>
        <v>30</v>
      </c>
    </row>
    <row r="24" spans="1:7" x14ac:dyDescent="0.25">
      <c r="B24">
        <v>10</v>
      </c>
    </row>
    <row r="25" spans="1:7" x14ac:dyDescent="0.25">
      <c r="D25">
        <f>B24+B26</f>
        <v>30</v>
      </c>
      <c r="E25">
        <f>C24+C26</f>
        <v>0</v>
      </c>
    </row>
    <row r="26" spans="1:7" x14ac:dyDescent="0.25">
      <c r="B26">
        <v>20</v>
      </c>
    </row>
    <row r="29" spans="1:7" x14ac:dyDescent="0.25">
      <c r="E29">
        <f>C28+C30</f>
        <v>0</v>
      </c>
    </row>
    <row r="37" spans="1:6" x14ac:dyDescent="0.25">
      <c r="B37" t="s">
        <v>30</v>
      </c>
      <c r="F37">
        <f>Price*quantity</f>
        <v>142500</v>
      </c>
    </row>
    <row r="38" spans="1:6" x14ac:dyDescent="0.25">
      <c r="B38" t="s">
        <v>23</v>
      </c>
      <c r="C38">
        <v>28500</v>
      </c>
    </row>
    <row r="39" spans="1:6" x14ac:dyDescent="0.25">
      <c r="B39" t="s">
        <v>31</v>
      </c>
      <c r="C39">
        <v>5</v>
      </c>
    </row>
    <row r="41" spans="1:6" x14ac:dyDescent="0.25">
      <c r="C41" s="21">
        <f>C38*C39</f>
        <v>142500</v>
      </c>
    </row>
    <row r="46" spans="1:6" x14ac:dyDescent="0.25">
      <c r="A46" t="s">
        <v>32</v>
      </c>
      <c r="B46">
        <v>12500</v>
      </c>
    </row>
    <row r="47" spans="1:6" x14ac:dyDescent="0.25">
      <c r="A47" t="s">
        <v>33</v>
      </c>
      <c r="B47">
        <f>B46*PF</f>
        <v>1562.5</v>
      </c>
    </row>
    <row r="52" spans="2:2" x14ac:dyDescent="0.25">
      <c r="B52">
        <v>10</v>
      </c>
    </row>
    <row r="53" spans="2:2" x14ac:dyDescent="0.25">
      <c r="B53">
        <v>0</v>
      </c>
    </row>
    <row r="55" spans="2:2" x14ac:dyDescent="0.25">
      <c r="B55" t="e">
        <f>B52/B53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2"/>
  <sheetViews>
    <sheetView topLeftCell="B1" zoomScale="145" zoomScaleNormal="145" workbookViewId="0">
      <selection activeCell="G2" sqref="G2"/>
    </sheetView>
  </sheetViews>
  <sheetFormatPr defaultRowHeight="15" x14ac:dyDescent="0.25"/>
  <cols>
    <col min="1" max="1" width="7.140625" customWidth="1"/>
    <col min="2" max="2" width="10.42578125" customWidth="1"/>
    <col min="3" max="4" width="19.28515625" bestFit="1" customWidth="1"/>
    <col min="5" max="5" width="10" customWidth="1"/>
    <col min="6" max="6" width="7.42578125" customWidth="1"/>
    <col min="7" max="7" width="11.85546875" customWidth="1"/>
    <col min="8" max="8" width="7.28515625" customWidth="1"/>
    <col min="9" max="9" width="7" customWidth="1"/>
    <col min="10" max="10" width="5.28515625" customWidth="1"/>
    <col min="11" max="11" width="12.28515625" customWidth="1"/>
    <col min="12" max="12" width="7.140625" customWidth="1"/>
    <col min="13" max="13" width="13" customWidth="1"/>
    <col min="14" max="14" width="9" bestFit="1" customWidth="1"/>
  </cols>
  <sheetData>
    <row r="1" spans="1:14" ht="30" x14ac:dyDescent="0.25">
      <c r="A1" s="22" t="s">
        <v>34</v>
      </c>
      <c r="B1" s="22" t="s">
        <v>35</v>
      </c>
      <c r="C1" s="22" t="s">
        <v>36</v>
      </c>
      <c r="D1" s="22" t="s">
        <v>37</v>
      </c>
      <c r="E1" s="22" t="s">
        <v>38</v>
      </c>
      <c r="F1" s="22" t="s">
        <v>39</v>
      </c>
      <c r="G1" s="22" t="s">
        <v>40</v>
      </c>
      <c r="H1" s="22" t="s">
        <v>41</v>
      </c>
      <c r="I1" s="23" t="s">
        <v>42</v>
      </c>
      <c r="J1" s="22" t="s">
        <v>33</v>
      </c>
      <c r="K1" s="22" t="s">
        <v>43</v>
      </c>
      <c r="L1" s="22" t="s">
        <v>44</v>
      </c>
      <c r="M1" s="22" t="s">
        <v>45</v>
      </c>
      <c r="N1" s="22" t="s">
        <v>46</v>
      </c>
    </row>
    <row r="2" spans="1:14" x14ac:dyDescent="0.25">
      <c r="A2" s="24" t="s">
        <v>47</v>
      </c>
      <c r="B2" s="14" t="s">
        <v>48</v>
      </c>
      <c r="C2" s="14" t="s">
        <v>49</v>
      </c>
      <c r="D2" s="24" t="s">
        <v>50</v>
      </c>
      <c r="E2" s="14">
        <v>18050</v>
      </c>
      <c r="F2" s="25">
        <f>E2*52%</f>
        <v>9386</v>
      </c>
      <c r="G2" s="26">
        <f>IF(D2="A",E2*25%,IF(D2="B",E2*15%,E2*10%))</f>
        <v>4512.5</v>
      </c>
      <c r="H2" s="25">
        <f>E2*8%</f>
        <v>1444</v>
      </c>
      <c r="I2" s="27">
        <f>SUM(E2:H2)</f>
        <v>33392.5</v>
      </c>
      <c r="J2" s="28">
        <f>E2*12.5%</f>
        <v>2256.25</v>
      </c>
      <c r="K2" s="25">
        <f>IF(I2&lt;=10000,100,IF(AND(I2&gt;10000,I2&lt;=20000),200,300))</f>
        <v>300</v>
      </c>
      <c r="L2" s="29">
        <v>500</v>
      </c>
      <c r="M2" s="30"/>
      <c r="N2" s="31"/>
    </row>
    <row r="3" spans="1:14" x14ac:dyDescent="0.25">
      <c r="A3" s="24" t="s">
        <v>51</v>
      </c>
      <c r="B3" s="14" t="s">
        <v>52</v>
      </c>
      <c r="C3" s="14" t="s">
        <v>53</v>
      </c>
      <c r="D3" s="24" t="s">
        <v>54</v>
      </c>
      <c r="E3" s="14">
        <v>3500</v>
      </c>
      <c r="F3" s="25">
        <f t="shared" ref="F3:F11" si="0">E3*52%</f>
        <v>1820</v>
      </c>
      <c r="G3" s="26">
        <f t="shared" ref="G3:G11" si="1">IF(D3="A",E3*25%,IF(D3="B",E3*15%,E3*10%))</f>
        <v>525</v>
      </c>
      <c r="H3" s="25">
        <f t="shared" ref="H3:H11" si="2">E3*8%</f>
        <v>280</v>
      </c>
      <c r="I3" s="27">
        <f t="shared" ref="I3:I11" si="3">SUM(E3:H3)</f>
        <v>6125</v>
      </c>
      <c r="J3" s="28">
        <f t="shared" ref="J3:J11" si="4">E3*12.5%</f>
        <v>437.5</v>
      </c>
      <c r="K3" s="25">
        <f t="shared" ref="K3:K11" si="5">IF(I3&lt;=10000,100,IF(AND(I3&gt;10000,I3&lt;=20000),200,300))</f>
        <v>100</v>
      </c>
      <c r="L3" s="14">
        <v>200</v>
      </c>
      <c r="M3" s="30"/>
      <c r="N3" s="31"/>
    </row>
    <row r="4" spans="1:14" x14ac:dyDescent="0.25">
      <c r="A4" s="24" t="s">
        <v>55</v>
      </c>
      <c r="B4" s="14" t="s">
        <v>14</v>
      </c>
      <c r="C4" s="14" t="s">
        <v>56</v>
      </c>
      <c r="D4" s="24" t="s">
        <v>50</v>
      </c>
      <c r="E4" s="14">
        <v>7500</v>
      </c>
      <c r="F4" s="25">
        <f t="shared" si="0"/>
        <v>3900</v>
      </c>
      <c r="G4" s="26">
        <f t="shared" si="1"/>
        <v>1875</v>
      </c>
      <c r="H4" s="25">
        <f t="shared" si="2"/>
        <v>600</v>
      </c>
      <c r="I4" s="27">
        <f t="shared" si="3"/>
        <v>13875</v>
      </c>
      <c r="J4" s="28">
        <f t="shared" si="4"/>
        <v>937.5</v>
      </c>
      <c r="K4" s="25">
        <f t="shared" si="5"/>
        <v>200</v>
      </c>
      <c r="L4" s="14">
        <v>3500</v>
      </c>
      <c r="M4" s="30"/>
      <c r="N4" s="31"/>
    </row>
    <row r="5" spans="1:14" x14ac:dyDescent="0.25">
      <c r="A5" s="24" t="s">
        <v>57</v>
      </c>
      <c r="B5" s="14" t="s">
        <v>58</v>
      </c>
      <c r="C5" s="14" t="s">
        <v>59</v>
      </c>
      <c r="D5" s="24" t="s">
        <v>50</v>
      </c>
      <c r="E5" s="14">
        <v>6500</v>
      </c>
      <c r="F5" s="25">
        <f t="shared" si="0"/>
        <v>3380</v>
      </c>
      <c r="G5" s="26">
        <f t="shared" si="1"/>
        <v>1625</v>
      </c>
      <c r="H5" s="25">
        <f t="shared" si="2"/>
        <v>520</v>
      </c>
      <c r="I5" s="27">
        <f t="shared" si="3"/>
        <v>12025</v>
      </c>
      <c r="J5" s="28">
        <f t="shared" si="4"/>
        <v>812.5</v>
      </c>
      <c r="K5" s="25">
        <f t="shared" si="5"/>
        <v>200</v>
      </c>
      <c r="L5" s="14">
        <v>2500</v>
      </c>
      <c r="M5" s="30"/>
      <c r="N5" s="31"/>
    </row>
    <row r="6" spans="1:14" x14ac:dyDescent="0.25">
      <c r="A6" s="24" t="s">
        <v>60</v>
      </c>
      <c r="B6" s="14" t="s">
        <v>61</v>
      </c>
      <c r="C6" s="14" t="s">
        <v>62</v>
      </c>
      <c r="D6" s="24" t="s">
        <v>63</v>
      </c>
      <c r="E6" s="14">
        <v>15000</v>
      </c>
      <c r="F6" s="25">
        <f t="shared" si="0"/>
        <v>7800</v>
      </c>
      <c r="G6" s="26">
        <f t="shared" si="1"/>
        <v>1500</v>
      </c>
      <c r="H6" s="25">
        <f t="shared" si="2"/>
        <v>1200</v>
      </c>
      <c r="I6" s="27">
        <f t="shared" si="3"/>
        <v>25500</v>
      </c>
      <c r="J6" s="28">
        <f t="shared" si="4"/>
        <v>1875</v>
      </c>
      <c r="K6" s="25">
        <f t="shared" si="5"/>
        <v>300</v>
      </c>
      <c r="L6" s="14">
        <v>2000</v>
      </c>
      <c r="M6" s="30"/>
      <c r="N6" s="31"/>
    </row>
    <row r="7" spans="1:14" x14ac:dyDescent="0.25">
      <c r="A7" s="24" t="s">
        <v>64</v>
      </c>
      <c r="B7" s="14" t="s">
        <v>65</v>
      </c>
      <c r="C7" s="14" t="s">
        <v>66</v>
      </c>
      <c r="D7" s="24" t="s">
        <v>63</v>
      </c>
      <c r="E7" s="14">
        <v>6500</v>
      </c>
      <c r="F7" s="25">
        <f t="shared" si="0"/>
        <v>3380</v>
      </c>
      <c r="G7" s="26">
        <f t="shared" si="1"/>
        <v>650</v>
      </c>
      <c r="H7" s="25">
        <f t="shared" si="2"/>
        <v>520</v>
      </c>
      <c r="I7" s="27">
        <f t="shared" si="3"/>
        <v>11050</v>
      </c>
      <c r="J7" s="28">
        <f t="shared" si="4"/>
        <v>812.5</v>
      </c>
      <c r="K7" s="25">
        <f t="shared" si="5"/>
        <v>200</v>
      </c>
      <c r="L7" s="14">
        <v>3200</v>
      </c>
      <c r="M7" s="30"/>
      <c r="N7" s="31"/>
    </row>
    <row r="8" spans="1:14" x14ac:dyDescent="0.25">
      <c r="A8" s="24" t="s">
        <v>67</v>
      </c>
      <c r="B8" s="14" t="s">
        <v>17</v>
      </c>
      <c r="C8" s="14" t="s">
        <v>59</v>
      </c>
      <c r="D8" s="24" t="s">
        <v>54</v>
      </c>
      <c r="E8" s="14">
        <v>3500</v>
      </c>
      <c r="F8" s="25">
        <f t="shared" si="0"/>
        <v>1820</v>
      </c>
      <c r="G8" s="26">
        <f t="shared" si="1"/>
        <v>525</v>
      </c>
      <c r="H8" s="25">
        <f t="shared" si="2"/>
        <v>280</v>
      </c>
      <c r="I8" s="27">
        <f t="shared" si="3"/>
        <v>6125</v>
      </c>
      <c r="J8" s="28">
        <f t="shared" si="4"/>
        <v>437.5</v>
      </c>
      <c r="K8" s="25">
        <f t="shared" si="5"/>
        <v>100</v>
      </c>
      <c r="L8" s="14">
        <v>1500</v>
      </c>
      <c r="M8" s="30"/>
      <c r="N8" s="31"/>
    </row>
    <row r="9" spans="1:14" x14ac:dyDescent="0.25">
      <c r="A9" s="24" t="s">
        <v>68</v>
      </c>
      <c r="B9" s="14" t="s">
        <v>69</v>
      </c>
      <c r="C9" s="14" t="s">
        <v>49</v>
      </c>
      <c r="D9" s="24" t="s">
        <v>50</v>
      </c>
      <c r="E9" s="14">
        <v>4500</v>
      </c>
      <c r="F9" s="25">
        <f t="shared" si="0"/>
        <v>2340</v>
      </c>
      <c r="G9" s="26">
        <f t="shared" si="1"/>
        <v>1125</v>
      </c>
      <c r="H9" s="25">
        <f t="shared" si="2"/>
        <v>360</v>
      </c>
      <c r="I9" s="27">
        <f t="shared" si="3"/>
        <v>8325</v>
      </c>
      <c r="J9" s="28">
        <f t="shared" si="4"/>
        <v>562.5</v>
      </c>
      <c r="K9" s="25">
        <f t="shared" si="5"/>
        <v>100</v>
      </c>
      <c r="L9" s="14">
        <v>800</v>
      </c>
      <c r="M9" s="30"/>
      <c r="N9" s="31"/>
    </row>
    <row r="10" spans="1:14" x14ac:dyDescent="0.25">
      <c r="A10" s="24" t="s">
        <v>70</v>
      </c>
      <c r="B10" s="14" t="s">
        <v>71</v>
      </c>
      <c r="C10" s="14" t="s">
        <v>72</v>
      </c>
      <c r="D10" s="24" t="s">
        <v>54</v>
      </c>
      <c r="E10" s="14">
        <v>7400</v>
      </c>
      <c r="F10" s="25">
        <f t="shared" si="0"/>
        <v>3848</v>
      </c>
      <c r="G10" s="26">
        <f t="shared" si="1"/>
        <v>1110</v>
      </c>
      <c r="H10" s="25">
        <f t="shared" si="2"/>
        <v>592</v>
      </c>
      <c r="I10" s="27">
        <f t="shared" si="3"/>
        <v>12950</v>
      </c>
      <c r="J10" s="28">
        <f t="shared" si="4"/>
        <v>925</v>
      </c>
      <c r="K10" s="25">
        <f t="shared" si="5"/>
        <v>200</v>
      </c>
      <c r="L10" s="14">
        <v>950</v>
      </c>
      <c r="M10" s="30"/>
      <c r="N10" s="31"/>
    </row>
    <row r="11" spans="1:14" x14ac:dyDescent="0.25">
      <c r="A11" s="24" t="s">
        <v>73</v>
      </c>
      <c r="B11" s="14" t="s">
        <v>13</v>
      </c>
      <c r="C11" s="14" t="s">
        <v>74</v>
      </c>
      <c r="D11" s="24" t="s">
        <v>63</v>
      </c>
      <c r="E11" s="14">
        <v>14200</v>
      </c>
      <c r="F11" s="25">
        <f t="shared" si="0"/>
        <v>7384</v>
      </c>
      <c r="G11" s="26">
        <f t="shared" si="1"/>
        <v>1420</v>
      </c>
      <c r="H11" s="25">
        <f t="shared" si="2"/>
        <v>1136</v>
      </c>
      <c r="I11" s="27">
        <f t="shared" si="3"/>
        <v>24140</v>
      </c>
      <c r="J11" s="28">
        <f t="shared" si="4"/>
        <v>1775</v>
      </c>
      <c r="K11" s="25">
        <f t="shared" si="5"/>
        <v>300</v>
      </c>
      <c r="L11" s="14">
        <v>1500</v>
      </c>
      <c r="M11" s="30"/>
      <c r="N11" s="31"/>
    </row>
    <row r="14" spans="1:14" x14ac:dyDescent="0.25">
      <c r="C14" s="32" t="s">
        <v>39</v>
      </c>
      <c r="D14" s="39" t="s">
        <v>75</v>
      </c>
      <c r="E14" s="39"/>
      <c r="F14" s="39"/>
      <c r="G14" s="39"/>
    </row>
    <row r="15" spans="1:14" ht="47.25" customHeight="1" x14ac:dyDescent="0.25">
      <c r="C15" s="32" t="s">
        <v>40</v>
      </c>
      <c r="D15" s="40" t="s">
        <v>76</v>
      </c>
      <c r="E15" s="40"/>
      <c r="F15" s="40"/>
      <c r="G15" s="40"/>
    </row>
    <row r="16" spans="1:14" x14ac:dyDescent="0.25">
      <c r="C16" s="32" t="s">
        <v>41</v>
      </c>
      <c r="D16" s="39" t="s">
        <v>77</v>
      </c>
      <c r="E16" s="39"/>
      <c r="F16" s="39"/>
      <c r="G16" s="39"/>
    </row>
    <row r="17" spans="3:7" x14ac:dyDescent="0.25">
      <c r="C17" s="33"/>
      <c r="D17" s="34"/>
    </row>
    <row r="18" spans="3:7" x14ac:dyDescent="0.25">
      <c r="C18" s="32" t="s">
        <v>33</v>
      </c>
      <c r="D18" s="39" t="s">
        <v>78</v>
      </c>
      <c r="E18" s="39"/>
      <c r="F18" s="39"/>
      <c r="G18" s="39"/>
    </row>
    <row r="19" spans="3:7" ht="59.25" customHeight="1" x14ac:dyDescent="0.25">
      <c r="C19" s="32" t="s">
        <v>43</v>
      </c>
      <c r="D19" s="40" t="s">
        <v>79</v>
      </c>
      <c r="E19" s="39"/>
      <c r="F19" s="39"/>
      <c r="G19" s="39"/>
    </row>
    <row r="86" spans="26:26" x14ac:dyDescent="0.25">
      <c r="Z86">
        <v>5</v>
      </c>
    </row>
    <row r="139" spans="25:25" x14ac:dyDescent="0.25">
      <c r="Y139">
        <v>5</v>
      </c>
    </row>
    <row r="156" spans="5:5" x14ac:dyDescent="0.25">
      <c r="E156">
        <v>5</v>
      </c>
    </row>
    <row r="489" spans="1:3" ht="30" x14ac:dyDescent="0.25">
      <c r="A489" s="22" t="s">
        <v>34</v>
      </c>
      <c r="B489" s="22" t="s">
        <v>35</v>
      </c>
      <c r="C489" s="22" t="s">
        <v>36</v>
      </c>
    </row>
    <row r="490" spans="1:3" x14ac:dyDescent="0.25">
      <c r="A490" s="24" t="s">
        <v>47</v>
      </c>
      <c r="B490" s="14" t="s">
        <v>48</v>
      </c>
      <c r="C490" s="14" t="s">
        <v>49</v>
      </c>
    </row>
    <row r="491" spans="1:3" x14ac:dyDescent="0.25">
      <c r="A491" s="24" t="s">
        <v>51</v>
      </c>
      <c r="B491" s="14" t="s">
        <v>52</v>
      </c>
      <c r="C491" s="14" t="s">
        <v>53</v>
      </c>
    </row>
    <row r="492" spans="1:3" x14ac:dyDescent="0.25">
      <c r="A492" s="24" t="s">
        <v>55</v>
      </c>
      <c r="B492" s="14" t="s">
        <v>14</v>
      </c>
      <c r="C492" s="14" t="s">
        <v>56</v>
      </c>
    </row>
  </sheetData>
  <mergeCells count="5">
    <mergeCell ref="D14:G14"/>
    <mergeCell ref="D15:G15"/>
    <mergeCell ref="D16:G16"/>
    <mergeCell ref="D18:G18"/>
    <mergeCell ref="D19:G19"/>
  </mergeCells>
  <printOptions horizontalCentered="1" headings="1" gridLines="1"/>
  <pageMargins left="0.7" right="0.7" top="0.75" bottom="0.75" header="0.3" footer="0.3"/>
  <pageSetup paperSize="9" orientation="portrait" verticalDpi="0" r:id="rId1"/>
  <headerFooter>
    <oddFooter>&amp;LABC COMPANY, BANGALORE&amp;C&amp;Z&amp;F\&amp;F&amp;R&amp;P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20" zoomScaleNormal="120" workbookViewId="0">
      <selection activeCell="E2" sqref="E2"/>
    </sheetView>
  </sheetViews>
  <sheetFormatPr defaultRowHeight="15" x14ac:dyDescent="0.25"/>
  <cols>
    <col min="1" max="1" width="8.85546875" bestFit="1" customWidth="1"/>
    <col min="2" max="2" width="16.140625" customWidth="1"/>
    <col min="3" max="3" width="15.5703125" customWidth="1"/>
    <col min="4" max="4" width="16" bestFit="1" customWidth="1"/>
    <col min="5" max="5" width="23.28515625" customWidth="1"/>
  </cols>
  <sheetData>
    <row r="1" spans="1:5" ht="24" x14ac:dyDescent="0.25">
      <c r="A1" s="35" t="s">
        <v>80</v>
      </c>
      <c r="B1" s="35" t="s">
        <v>81</v>
      </c>
      <c r="C1" s="35" t="s">
        <v>82</v>
      </c>
      <c r="D1" s="35" t="s">
        <v>83</v>
      </c>
    </row>
    <row r="2" spans="1:5" x14ac:dyDescent="0.25">
      <c r="A2" s="36" t="s">
        <v>84</v>
      </c>
      <c r="B2" s="37" t="s">
        <v>85</v>
      </c>
      <c r="C2" s="38" t="s">
        <v>86</v>
      </c>
      <c r="D2" s="38" t="str">
        <f>IFERROR(VLOOKUP(A2,[10]Sheet10!$A$1:$D$10,4,FALSE),"")</f>
        <v>Administration</v>
      </c>
      <c r="E2" s="14" t="str">
        <f>VLOOKUP(A2,'Formula Auditing 5'!$A$1:$D$10,4,FALSE)</f>
        <v>Administration</v>
      </c>
    </row>
    <row r="3" spans="1:5" x14ac:dyDescent="0.25">
      <c r="A3" s="36" t="s">
        <v>87</v>
      </c>
      <c r="B3" s="37" t="s">
        <v>88</v>
      </c>
      <c r="C3" s="38" t="s">
        <v>89</v>
      </c>
      <c r="D3" s="38" t="str">
        <f>IFERROR(VLOOKUP(A3,[10]Sheet10!$A$1:$D$10,4,FALSE),"")</f>
        <v/>
      </c>
      <c r="E3" s="14" t="e">
        <f>VLOOKUP(A3,'Formula Auditing 5'!$A$1:$D$10,4,FALSE)</f>
        <v>#N/A</v>
      </c>
    </row>
    <row r="4" spans="1:5" x14ac:dyDescent="0.25">
      <c r="A4" s="36" t="s">
        <v>90</v>
      </c>
      <c r="B4" s="37" t="s">
        <v>91</v>
      </c>
      <c r="C4" s="38" t="s">
        <v>92</v>
      </c>
      <c r="D4" s="38" t="str">
        <f>IFERROR(VLOOKUP(A4,[10]Sheet10!$A$1:$D$10,4,FALSE),"")</f>
        <v>Marketing</v>
      </c>
      <c r="E4" s="14" t="str">
        <f>VLOOKUP(A4,'Formula Auditing 5'!$A$1:$D$10,4,FALSE)</f>
        <v>Marketing</v>
      </c>
    </row>
    <row r="5" spans="1:5" x14ac:dyDescent="0.25">
      <c r="A5" s="36" t="s">
        <v>93</v>
      </c>
      <c r="B5" s="37" t="s">
        <v>94</v>
      </c>
      <c r="C5" s="38" t="s">
        <v>92</v>
      </c>
      <c r="D5" s="38" t="str">
        <f>IFERROR(VLOOKUP(A5,[10]Sheet10!$A$1:$D$10,4,FALSE),"")</f>
        <v>Human Resource</v>
      </c>
      <c r="E5" s="14" t="str">
        <f>VLOOKUP(A5,'Formula Auditing 5'!$A$1:$D$10,4,FALSE)</f>
        <v>Human Resource</v>
      </c>
    </row>
    <row r="6" spans="1:5" x14ac:dyDescent="0.25">
      <c r="A6" s="36" t="s">
        <v>95</v>
      </c>
      <c r="B6" s="37" t="s">
        <v>96</v>
      </c>
      <c r="C6" s="38" t="s">
        <v>89</v>
      </c>
      <c r="D6" s="38" t="str">
        <f>IFERROR(VLOOKUP(A6,[10]Sheet10!$A$1:$D$10,4,FALSE),"")</f>
        <v>Training</v>
      </c>
      <c r="E6" s="14" t="str">
        <f>VLOOKUP(A6,'Formula Auditing 5'!$A$1:$D$10,4,FALSE)</f>
        <v>Training</v>
      </c>
    </row>
    <row r="7" spans="1:5" x14ac:dyDescent="0.25">
      <c r="A7" s="36" t="s">
        <v>97</v>
      </c>
      <c r="B7" s="37" t="s">
        <v>17</v>
      </c>
      <c r="C7" s="38" t="s">
        <v>89</v>
      </c>
      <c r="D7" s="38" t="str">
        <f>IFERROR(VLOOKUP(A7,[10]Sheet10!$A$1:$D$10,4,FALSE),"")</f>
        <v/>
      </c>
      <c r="E7" s="14" t="e">
        <f>VLOOKUP(A7,'Formula Auditing 5'!$A$1:$D$10,4,FALSE)</f>
        <v>#N/A</v>
      </c>
    </row>
    <row r="8" spans="1:5" x14ac:dyDescent="0.25">
      <c r="A8" s="36" t="s">
        <v>98</v>
      </c>
      <c r="B8" s="37" t="s">
        <v>13</v>
      </c>
      <c r="C8" s="38" t="s">
        <v>92</v>
      </c>
      <c r="D8" s="38" t="str">
        <f>IFERROR(VLOOKUP(A8,[10]Sheet10!$A$1:$D$10,4,FALSE),"")</f>
        <v>Quality</v>
      </c>
      <c r="E8" s="14" t="str">
        <f>VLOOKUP(A8,'Formula Auditing 5'!$A$1:$D$10,4,FALSE)</f>
        <v>Quality</v>
      </c>
    </row>
    <row r="9" spans="1:5" x14ac:dyDescent="0.25">
      <c r="A9" s="36" t="s">
        <v>99</v>
      </c>
      <c r="B9" s="37" t="s">
        <v>100</v>
      </c>
      <c r="C9" s="38" t="s">
        <v>89</v>
      </c>
      <c r="D9" s="38" t="str">
        <f>IFERROR(VLOOKUP(A9,[10]Sheet10!$A$1:$D$10,4,FALSE),"")</f>
        <v>Administration</v>
      </c>
      <c r="E9" s="14" t="str">
        <f>VLOOKUP(A9,'Formula Auditing 5'!$A$1:$D$10,4,FALSE)</f>
        <v>Administration</v>
      </c>
    </row>
    <row r="10" spans="1:5" x14ac:dyDescent="0.25">
      <c r="A10" s="36" t="s">
        <v>101</v>
      </c>
      <c r="B10" s="37" t="s">
        <v>102</v>
      </c>
      <c r="C10" s="38" t="s">
        <v>92</v>
      </c>
      <c r="D10" s="38" t="str">
        <f>IFERROR(VLOOKUP(A10,[10]Sheet10!$A$1:$D$10,4,FALSE),"")</f>
        <v>Sales</v>
      </c>
      <c r="E10" s="14" t="str">
        <f>VLOOKUP(A10,'Formula Auditing 5'!$A$1:$D$10,4,FALSE)</f>
        <v>Sales</v>
      </c>
    </row>
    <row r="11" spans="1:5" x14ac:dyDescent="0.25">
      <c r="A11" s="36" t="s">
        <v>103</v>
      </c>
      <c r="B11" s="37" t="s">
        <v>104</v>
      </c>
      <c r="C11" s="38" t="s">
        <v>86</v>
      </c>
      <c r="D11" s="38" t="str">
        <f>IFERROR(VLOOKUP(A11,[10]Sheet10!$A$1:$D$10,4,FALSE),"")</f>
        <v>Marketing</v>
      </c>
      <c r="E11" s="14" t="str">
        <f>VLOOKUP(A11,'Formula Auditing 5'!$A$1:$D$10,4,FALSE)</f>
        <v>Marketing</v>
      </c>
    </row>
  </sheetData>
  <dataValidations count="1">
    <dataValidation type="list" allowBlank="1" showInputMessage="1" showErrorMessage="1" sqref="C2:C11">
      <formula1>"Permanent, Temporary, Contract"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20" zoomScaleNormal="120" workbookViewId="0">
      <selection activeCell="D2" sqref="D2"/>
    </sheetView>
  </sheetViews>
  <sheetFormatPr defaultRowHeight="15" x14ac:dyDescent="0.25"/>
  <cols>
    <col min="1" max="1" width="12.140625" customWidth="1"/>
    <col min="2" max="2" width="16.140625" customWidth="1"/>
    <col min="3" max="3" width="15.5703125" customWidth="1"/>
    <col min="4" max="4" width="16" bestFit="1" customWidth="1"/>
  </cols>
  <sheetData>
    <row r="1" spans="1:4" x14ac:dyDescent="0.25">
      <c r="A1" s="35" t="s">
        <v>80</v>
      </c>
      <c r="B1" s="35" t="s">
        <v>81</v>
      </c>
      <c r="C1" s="35" t="s">
        <v>82</v>
      </c>
      <c r="D1" s="35" t="s">
        <v>83</v>
      </c>
    </row>
    <row r="2" spans="1:4" x14ac:dyDescent="0.25">
      <c r="A2" s="36" t="s">
        <v>98</v>
      </c>
      <c r="B2" s="37" t="s">
        <v>13</v>
      </c>
      <c r="C2" s="38" t="s">
        <v>92</v>
      </c>
      <c r="D2" s="38" t="s">
        <v>105</v>
      </c>
    </row>
    <row r="3" spans="1:4" x14ac:dyDescent="0.25">
      <c r="A3" s="36" t="s">
        <v>90</v>
      </c>
      <c r="B3" s="37" t="s">
        <v>91</v>
      </c>
      <c r="C3" s="38" t="s">
        <v>92</v>
      </c>
      <c r="D3" s="38" t="s">
        <v>106</v>
      </c>
    </row>
    <row r="4" spans="1:4" x14ac:dyDescent="0.25">
      <c r="A4" s="36" t="s">
        <v>95</v>
      </c>
      <c r="B4" s="37" t="s">
        <v>96</v>
      </c>
      <c r="C4" s="38" t="s">
        <v>89</v>
      </c>
      <c r="D4" s="38" t="s">
        <v>107</v>
      </c>
    </row>
    <row r="5" spans="1:4" x14ac:dyDescent="0.25">
      <c r="A5" s="36" t="s">
        <v>99</v>
      </c>
      <c r="B5" s="37" t="s">
        <v>100</v>
      </c>
      <c r="C5" s="38" t="s">
        <v>89</v>
      </c>
      <c r="D5" s="38" t="s">
        <v>108</v>
      </c>
    </row>
    <row r="6" spans="1:4" x14ac:dyDescent="0.25">
      <c r="A6" s="36" t="s">
        <v>93</v>
      </c>
      <c r="B6" s="37" t="s">
        <v>94</v>
      </c>
      <c r="C6" s="38" t="s">
        <v>92</v>
      </c>
      <c r="D6" s="38" t="s">
        <v>109</v>
      </c>
    </row>
    <row r="7" spans="1:4" x14ac:dyDescent="0.25">
      <c r="A7" s="36" t="s">
        <v>110</v>
      </c>
      <c r="B7" s="16" t="s">
        <v>12</v>
      </c>
      <c r="C7" s="16" t="s">
        <v>89</v>
      </c>
      <c r="D7" s="16" t="s">
        <v>106</v>
      </c>
    </row>
    <row r="8" spans="1:4" x14ac:dyDescent="0.25">
      <c r="A8" s="36" t="s">
        <v>101</v>
      </c>
      <c r="B8" s="37" t="s">
        <v>102</v>
      </c>
      <c r="C8" s="38" t="s">
        <v>92</v>
      </c>
      <c r="D8" s="38" t="s">
        <v>111</v>
      </c>
    </row>
    <row r="9" spans="1:4" x14ac:dyDescent="0.25">
      <c r="A9" s="36" t="s">
        <v>84</v>
      </c>
      <c r="B9" s="37" t="s">
        <v>85</v>
      </c>
      <c r="C9" s="38" t="s">
        <v>86</v>
      </c>
      <c r="D9" s="38" t="s">
        <v>108</v>
      </c>
    </row>
    <row r="10" spans="1:4" x14ac:dyDescent="0.25">
      <c r="A10" s="36" t="s">
        <v>103</v>
      </c>
      <c r="B10" s="37" t="s">
        <v>104</v>
      </c>
      <c r="C10" s="38" t="s">
        <v>86</v>
      </c>
      <c r="D10" s="38" t="s">
        <v>106</v>
      </c>
    </row>
  </sheetData>
  <dataValidations count="1">
    <dataValidation type="list" allowBlank="1" showInputMessage="1" showErrorMessage="1" sqref="C2:C10">
      <formula1>"Permanent, Temporary, Contract"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 audting</vt:lpstr>
      <vt:lpstr>Formula auditing 2</vt:lpstr>
      <vt:lpstr>Formula auditing 3</vt:lpstr>
      <vt:lpstr>Formula Auditing 4</vt:lpstr>
      <vt:lpstr>Formula Auditing 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2024-02-03T08:20:23Z</dcterms:created>
  <dcterms:modified xsi:type="dcterms:W3CDTF">2024-02-18T00:56:05Z</dcterms:modified>
</cp:coreProperties>
</file>