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Database functions01" sheetId="1" r:id="rId1"/>
    <sheet name="Database functions" sheetId="4" r:id="rId2"/>
    <sheet name="Sheet2" sheetId="2" r:id="rId3"/>
  </sheets>
  <externalReferences>
    <externalReference r:id="rId4"/>
    <externalReference r:id="rId5"/>
  </externalReferences>
  <definedNames>
    <definedName name="_xlnm._FilterDatabase" localSheetId="1" hidden="1">'Database functions'!$B$5:$F$15</definedName>
    <definedName name="_xlnm._FilterDatabase" localSheetId="0" hidden="1">'Database functions01'!$B$5:$F$15</definedName>
    <definedName name="cost">[1]Sheet22!$D$4</definedName>
    <definedName name="_xlnm.Criteria" localSheetId="0">'Database functions01'!$F$1:$F$2</definedName>
    <definedName name="Employee_ID">"sheet34!a1:a10"</definedName>
    <definedName name="etype">'[2]Data validation'!$G$29:$G$31</definedName>
    <definedName name="_xlnm.Extract" localSheetId="1">'Database functions'!$B$48:$F$48</definedName>
    <definedName name="_xlnm.Extract" localSheetId="0">'Database functions01'!$B$45:$F$45</definedName>
    <definedName name="lap_price" localSheetId="1">#REF!</definedName>
    <definedName name="lap_price" localSheetId="0">#REF!</definedName>
    <definedName name="lap_price">#REF!</definedName>
    <definedName name="lap_qty" localSheetId="1">#REF!</definedName>
    <definedName name="lap_qty" localSheetId="0">#REF!</definedName>
    <definedName name="lap_qty">#REF!</definedName>
    <definedName name="marks_list" localSheetId="1">#REF!</definedName>
    <definedName name="marks_list">#REF!</definedName>
    <definedName name="qty">[1]Sheet22!$D$5</definedName>
    <definedName name="salary">[1]Sheet22!$F$2:$F$6</definedName>
    <definedName name="Z_4A41623D_F32B_4D0C_A66F_ED5102892AEF_.wvu.FilterData" localSheetId="1" hidden="1">'Database functions'!$B$5:$F$15</definedName>
    <definedName name="Z_4A41623D_F32B_4D0C_A66F_ED5102892AEF_.wvu.FilterData" localSheetId="0" hidden="1">'Database functions01'!$B$5:$F$15</definedName>
    <definedName name="Z_9248CEC2_F63F_4CBD_A218_D7A1341C30A4_.wvu.FilterData" localSheetId="1" hidden="1">'Database functions'!$B$5:$F$15</definedName>
    <definedName name="Z_9248CEC2_F63F_4CBD_A218_D7A1341C30A4_.wvu.FilterData" localSheetId="0" hidden="1">'Database functions01'!$B$5:$F$15</definedName>
    <definedName name="Z_A7785CAB_B138_4C42_97F4_1E6C2C63E74B_.wvu.FilterData" localSheetId="1" hidden="1">'Database functions'!$B$5:$F$15</definedName>
    <definedName name="Z_A7785CAB_B138_4C42_97F4_1E6C2C63E74B_.wvu.FilterData" localSheetId="0" hidden="1">'Database functions01'!$B$5:$F$15</definedName>
    <definedName name="Z_DDC982DC_6E85_4FB6_9D39_3AB67358F89C_.wvu.FilterData" localSheetId="1" hidden="1">'Database functions'!$B$5:$F$15</definedName>
    <definedName name="Z_DDC982DC_6E85_4FB6_9D39_3AB67358F89C_.wvu.FilterData" localSheetId="0" hidden="1">'Database functions01'!$B$5:$F$15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4" l="1"/>
  <c r="F27" i="4"/>
  <c r="F26" i="4"/>
  <c r="F25" i="4"/>
  <c r="F24" i="4"/>
  <c r="F23" i="4"/>
  <c r="F22" i="4"/>
  <c r="F21" i="4"/>
  <c r="H21" i="4" l="1"/>
  <c r="H18" i="1"/>
  <c r="H15" i="1"/>
  <c r="H13" i="1"/>
  <c r="H12" i="1"/>
  <c r="H11" i="1"/>
  <c r="H5" i="1"/>
  <c r="H4" i="1"/>
  <c r="H3" i="1"/>
</calcChain>
</file>

<file path=xl/sharedStrings.xml><?xml version="1.0" encoding="utf-8"?>
<sst xmlns="http://schemas.openxmlformats.org/spreadsheetml/2006/main" count="162" uniqueCount="58">
  <si>
    <t>City</t>
  </si>
  <si>
    <t>Designation</t>
  </si>
  <si>
    <t>Salary</t>
  </si>
  <si>
    <t>Mysore</t>
  </si>
  <si>
    <t>Sales rep</t>
  </si>
  <si>
    <t>Mandya</t>
  </si>
  <si>
    <t>&gt;60000</t>
  </si>
  <si>
    <t>SL No</t>
  </si>
  <si>
    <t>Employee name</t>
  </si>
  <si>
    <t>Kumar</t>
  </si>
  <si>
    <t>Manager</t>
  </si>
  <si>
    <t>=DCOUNTA(B5:F15,D5,D1:D2)</t>
  </si>
  <si>
    <t>Ravi</t>
  </si>
  <si>
    <t>Trainer</t>
  </si>
  <si>
    <t>Mangalore</t>
  </si>
  <si>
    <t>=DCOUNTA(B5:F15,E5,E1:E2)</t>
  </si>
  <si>
    <t>Manoj</t>
  </si>
  <si>
    <t>Bangalore</t>
  </si>
  <si>
    <t>Vinay</t>
  </si>
  <si>
    <t>Clerk</t>
  </si>
  <si>
    <t>Hyderabad</t>
  </si>
  <si>
    <t>Lohith</t>
  </si>
  <si>
    <t>Daya</t>
  </si>
  <si>
    <t>Rajesh</t>
  </si>
  <si>
    <t>Hubli</t>
  </si>
  <si>
    <t>Mahesh</t>
  </si>
  <si>
    <t>Suresh</t>
  </si>
  <si>
    <t>Director</t>
  </si>
  <si>
    <t>Prakash</t>
  </si>
  <si>
    <t>Highest salary in city mysore</t>
  </si>
  <si>
    <t>Total salary for mysore city</t>
  </si>
  <si>
    <t>Lowest salary in city Mysore</t>
  </si>
  <si>
    <t>Count number of emp having salary more than 30000</t>
  </si>
  <si>
    <t>&gt;=30000</t>
  </si>
  <si>
    <t>total salary of sales rep</t>
  </si>
  <si>
    <t>=DSUM(B5:F15,F5,D31:D32)</t>
  </si>
  <si>
    <t>total salary for city mysore</t>
  </si>
  <si>
    <t>=DSUM(B5:F15,F5,F31:F32)</t>
  </si>
  <si>
    <t>Highest salaried amount in city Mysore</t>
  </si>
  <si>
    <t>=DMAX(B5:F15,F5,F31:F32)</t>
  </si>
  <si>
    <t>=DCOUNT(B5:F15,F5,H31:H32)</t>
  </si>
  <si>
    <t>DSUM</t>
  </si>
  <si>
    <t>DAVERAGE</t>
  </si>
  <si>
    <t>DCOUNT</t>
  </si>
  <si>
    <t>DCOUNTA</t>
  </si>
  <si>
    <t>DMAX</t>
  </si>
  <si>
    <t>DMIN</t>
  </si>
  <si>
    <t>DSTDEV</t>
  </si>
  <si>
    <t>DVAR</t>
  </si>
  <si>
    <t>DGET</t>
  </si>
  <si>
    <t>DPRODUCT</t>
  </si>
  <si>
    <t>DSUM(database, field, criteria)</t>
  </si>
  <si>
    <t>Employees with salary &gt; 60000</t>
  </si>
  <si>
    <t>Criteria</t>
  </si>
  <si>
    <t>&gt;30000</t>
  </si>
  <si>
    <t>Count number of employees with designation Manager</t>
  </si>
  <si>
    <t>&gt;=50000</t>
  </si>
  <si>
    <t>Salary of empl with designation Sales rep and Salary &gt;=50000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</si>
</sst>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0" xfId="0" quotePrefix="1" applyAlignment="1">
      <alignment wrapText="1"/>
    </xf>
    <xf numFmtId="0" fontId="0" fillId="0" borderId="0" xfId="0" quotePrefix="1"/>
    <xf numFmtId="0" fontId="0" fillId="0" borderId="1" xfId="0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3" fillId="0" borderId="2" xfId="0" applyFont="1" applyBorder="1"/>
    <xf numFmtId="0" fontId="3" fillId="0" borderId="0" xfId="0" applyFont="1"/>
    <xf numFmtId="0" fontId="4" fillId="0" borderId="0" xfId="0" applyFont="1"/>
    <xf numFmtId="0" fontId="0" fillId="0" borderId="1" xfId="0" applyFont="1" applyBorder="1" applyAlignment="1">
      <alignment wrapText="1"/>
    </xf>
    <xf numFmtId="0" fontId="0" fillId="2" borderId="1" xfId="0" applyFill="1" applyBorder="1"/>
    <xf numFmtId="0" fontId="0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6"/>
      <sheetName val="sales data"/>
      <sheetName val="Chart7"/>
      <sheetName val="pie data"/>
      <sheetName val="Chart8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vlookup"/>
      <sheetName val="vlookup2"/>
      <sheetName val="sheet5"/>
      <sheetName val="sheet6"/>
      <sheetName val="vlookup3"/>
      <sheetName val="vlookup4"/>
      <sheetName val="vlookup5"/>
      <sheetName val="Sheet11"/>
      <sheetName val="Sheet12"/>
      <sheetName val="Pivot data"/>
      <sheetName val="Database functions and comments"/>
      <sheetName val="Chart9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4"/>
  <sheetViews>
    <sheetView tabSelected="1" zoomScale="145" zoomScaleNormal="145" workbookViewId="0">
      <selection activeCell="H3" sqref="H3"/>
    </sheetView>
  </sheetViews>
  <sheetFormatPr defaultRowHeight="15" x14ac:dyDescent="0.25"/>
  <cols>
    <col min="2" max="2" width="11.5703125" bestFit="1" customWidth="1"/>
    <col min="3" max="3" width="16" customWidth="1"/>
    <col min="4" max="4" width="15" customWidth="1"/>
    <col min="5" max="5" width="11.28515625" customWidth="1"/>
    <col min="6" max="6" width="9" customWidth="1"/>
    <col min="7" max="7" width="6.5703125" customWidth="1"/>
    <col min="8" max="8" width="28.7109375" customWidth="1"/>
  </cols>
  <sheetData>
    <row r="1" spans="2:12" x14ac:dyDescent="0.25">
      <c r="B1" s="1"/>
      <c r="C1" s="2" t="s">
        <v>0</v>
      </c>
      <c r="D1" s="2" t="s">
        <v>1</v>
      </c>
      <c r="E1" s="2" t="s">
        <v>0</v>
      </c>
      <c r="F1" s="2" t="s">
        <v>2</v>
      </c>
    </row>
    <row r="2" spans="2:12" x14ac:dyDescent="0.25">
      <c r="C2" t="s">
        <v>3</v>
      </c>
      <c r="D2" s="3" t="s">
        <v>4</v>
      </c>
      <c r="E2" t="s">
        <v>5</v>
      </c>
      <c r="F2" t="s">
        <v>6</v>
      </c>
    </row>
    <row r="3" spans="2:12" x14ac:dyDescent="0.25">
      <c r="H3" s="4">
        <f>DSUM(B5:F15,F5,D1:E2)</f>
        <v>75000</v>
      </c>
    </row>
    <row r="4" spans="2:12" x14ac:dyDescent="0.25">
      <c r="H4" s="4">
        <f>DSUM(B5:F15,F5,D1:D2)</f>
        <v>90000</v>
      </c>
    </row>
    <row r="5" spans="2:12" x14ac:dyDescent="0.25">
      <c r="B5" s="1" t="s">
        <v>7</v>
      </c>
      <c r="C5" s="2" t="s">
        <v>8</v>
      </c>
      <c r="D5" s="2" t="s">
        <v>1</v>
      </c>
      <c r="E5" s="2" t="s">
        <v>0</v>
      </c>
      <c r="F5" s="2" t="s">
        <v>2</v>
      </c>
      <c r="H5" s="5">
        <f>DSUM(B5:F15,F5,F1:F2)</f>
        <v>153000</v>
      </c>
      <c r="L5" s="2" t="s">
        <v>0</v>
      </c>
    </row>
    <row r="6" spans="2:12" x14ac:dyDescent="0.25">
      <c r="B6" s="6">
        <v>1</v>
      </c>
      <c r="C6" s="3" t="s">
        <v>9</v>
      </c>
      <c r="D6" s="3" t="s">
        <v>10</v>
      </c>
      <c r="E6" s="7" t="s">
        <v>3</v>
      </c>
      <c r="F6" s="7">
        <v>25000</v>
      </c>
      <c r="H6" s="8" t="s">
        <v>11</v>
      </c>
      <c r="L6" t="s">
        <v>3</v>
      </c>
    </row>
    <row r="7" spans="2:12" x14ac:dyDescent="0.25">
      <c r="B7" s="6">
        <v>2</v>
      </c>
      <c r="C7" s="3" t="s">
        <v>12</v>
      </c>
      <c r="D7" s="3" t="s">
        <v>13</v>
      </c>
      <c r="E7" s="7" t="s">
        <v>14</v>
      </c>
      <c r="F7" s="7">
        <v>32500</v>
      </c>
      <c r="H7" s="9" t="s">
        <v>15</v>
      </c>
    </row>
    <row r="8" spans="2:12" x14ac:dyDescent="0.25">
      <c r="B8" s="6">
        <v>3</v>
      </c>
      <c r="C8" s="3" t="s">
        <v>16</v>
      </c>
      <c r="D8" s="3" t="s">
        <v>10</v>
      </c>
      <c r="E8" s="7" t="s">
        <v>17</v>
      </c>
      <c r="F8" s="7">
        <v>12500</v>
      </c>
    </row>
    <row r="9" spans="2:12" x14ac:dyDescent="0.25">
      <c r="B9" s="6">
        <v>4</v>
      </c>
      <c r="C9" s="3" t="s">
        <v>18</v>
      </c>
      <c r="D9" s="3" t="s">
        <v>19</v>
      </c>
      <c r="E9" s="7" t="s">
        <v>20</v>
      </c>
      <c r="F9" s="7">
        <v>24500</v>
      </c>
    </row>
    <row r="10" spans="2:12" x14ac:dyDescent="0.25">
      <c r="B10" s="6">
        <v>5</v>
      </c>
      <c r="C10" s="3" t="s">
        <v>21</v>
      </c>
      <c r="D10" s="3" t="s">
        <v>13</v>
      </c>
      <c r="E10" s="7" t="s">
        <v>3</v>
      </c>
      <c r="F10" s="7">
        <v>23000</v>
      </c>
    </row>
    <row r="11" spans="2:12" x14ac:dyDescent="0.25">
      <c r="B11" s="6">
        <v>6</v>
      </c>
      <c r="C11" s="3" t="s">
        <v>22</v>
      </c>
      <c r="D11" s="3" t="s">
        <v>19</v>
      </c>
      <c r="E11" s="7" t="s">
        <v>3</v>
      </c>
      <c r="F11" s="7">
        <v>55000</v>
      </c>
      <c r="H11" s="5">
        <f>DSUM(B5:F15,F5,E1:E2)</f>
        <v>153000</v>
      </c>
    </row>
    <row r="12" spans="2:12" x14ac:dyDescent="0.25">
      <c r="B12" s="6">
        <v>7</v>
      </c>
      <c r="C12" s="10" t="s">
        <v>23</v>
      </c>
      <c r="D12" s="3" t="s">
        <v>4</v>
      </c>
      <c r="E12" s="7" t="s">
        <v>24</v>
      </c>
      <c r="F12" s="7">
        <v>15000</v>
      </c>
      <c r="H12" s="8">
        <f>DMAX(B5:F15,F5,E1:E2)</f>
        <v>78000</v>
      </c>
    </row>
    <row r="13" spans="2:12" x14ac:dyDescent="0.25">
      <c r="B13" s="6">
        <v>8</v>
      </c>
      <c r="C13" s="10" t="s">
        <v>25</v>
      </c>
      <c r="D13" s="3" t="s">
        <v>4</v>
      </c>
      <c r="E13" s="7" t="s">
        <v>5</v>
      </c>
      <c r="F13" s="7">
        <v>75000</v>
      </c>
      <c r="H13" s="8">
        <f>DMIN(B5:F15,F5,E1:E2)</f>
        <v>75000</v>
      </c>
    </row>
    <row r="14" spans="2:12" x14ac:dyDescent="0.25">
      <c r="B14" s="6">
        <v>9</v>
      </c>
      <c r="C14" s="10" t="s">
        <v>26</v>
      </c>
      <c r="D14" s="3" t="s">
        <v>27</v>
      </c>
      <c r="E14" s="7" t="s">
        <v>5</v>
      </c>
      <c r="F14" s="7">
        <v>78000</v>
      </c>
    </row>
    <row r="15" spans="2:12" x14ac:dyDescent="0.25">
      <c r="B15" s="6">
        <v>10</v>
      </c>
      <c r="C15" s="10" t="s">
        <v>28</v>
      </c>
      <c r="D15" s="3" t="s">
        <v>13</v>
      </c>
      <c r="E15" s="7" t="s">
        <v>3</v>
      </c>
      <c r="F15" s="7">
        <v>32000</v>
      </c>
      <c r="H15" s="9">
        <f>DMAX(B5:F15,F5,C1:C2)</f>
        <v>55000</v>
      </c>
    </row>
    <row r="18" spans="4:10" ht="45" x14ac:dyDescent="0.25">
      <c r="E18" s="11" t="s">
        <v>29</v>
      </c>
      <c r="H18">
        <f>DCOUNTA(B5:F15,D5,D1:D2)</f>
        <v>2</v>
      </c>
    </row>
    <row r="19" spans="4:10" ht="45" x14ac:dyDescent="0.25">
      <c r="E19" s="11" t="s">
        <v>30</v>
      </c>
    </row>
    <row r="20" spans="4:10" ht="45" x14ac:dyDescent="0.25">
      <c r="E20" s="11" t="s">
        <v>31</v>
      </c>
    </row>
    <row r="23" spans="4:10" ht="75" x14ac:dyDescent="0.25">
      <c r="E23" s="11" t="s">
        <v>32</v>
      </c>
    </row>
    <row r="26" spans="4:10" x14ac:dyDescent="0.25">
      <c r="H26" s="11"/>
      <c r="J26" s="11"/>
    </row>
    <row r="31" spans="4:10" x14ac:dyDescent="0.25">
      <c r="D31" s="2" t="s">
        <v>1</v>
      </c>
      <c r="F31" s="2" t="s">
        <v>0</v>
      </c>
      <c r="H31" s="2" t="s">
        <v>2</v>
      </c>
    </row>
    <row r="32" spans="4:10" x14ac:dyDescent="0.25">
      <c r="D32" s="3" t="s">
        <v>4</v>
      </c>
      <c r="F32" t="s">
        <v>3</v>
      </c>
      <c r="H32" t="s">
        <v>33</v>
      </c>
    </row>
    <row r="34" spans="2:6" ht="30" x14ac:dyDescent="0.25">
      <c r="C34" s="12" t="s">
        <v>34</v>
      </c>
      <c r="D34" s="9" t="s">
        <v>35</v>
      </c>
    </row>
    <row r="35" spans="2:6" ht="30" x14ac:dyDescent="0.25">
      <c r="C35" s="12" t="s">
        <v>36</v>
      </c>
      <c r="D35" s="9" t="s">
        <v>37</v>
      </c>
    </row>
    <row r="37" spans="2:6" ht="45" x14ac:dyDescent="0.25">
      <c r="C37" s="12" t="s">
        <v>38</v>
      </c>
      <c r="D37" s="9" t="s">
        <v>39</v>
      </c>
    </row>
    <row r="38" spans="2:6" x14ac:dyDescent="0.25">
      <c r="C38" s="12"/>
    </row>
    <row r="39" spans="2:6" ht="60" x14ac:dyDescent="0.25">
      <c r="C39" s="11" t="s">
        <v>32</v>
      </c>
      <c r="D39" s="9" t="s">
        <v>40</v>
      </c>
    </row>
    <row r="45" spans="2:6" x14ac:dyDescent="0.25">
      <c r="B45" s="1" t="s">
        <v>7</v>
      </c>
      <c r="C45" s="2" t="s">
        <v>8</v>
      </c>
      <c r="D45" s="2" t="s">
        <v>1</v>
      </c>
      <c r="E45" s="2" t="s">
        <v>0</v>
      </c>
      <c r="F45" s="2" t="s">
        <v>2</v>
      </c>
    </row>
    <row r="46" spans="2:6" x14ac:dyDescent="0.25">
      <c r="B46" s="6">
        <v>8</v>
      </c>
      <c r="C46" s="10" t="s">
        <v>25</v>
      </c>
      <c r="D46" s="3" t="s">
        <v>4</v>
      </c>
      <c r="E46" s="7" t="s">
        <v>5</v>
      </c>
      <c r="F46" s="7">
        <v>75000</v>
      </c>
    </row>
    <row r="47" spans="2:6" x14ac:dyDescent="0.25">
      <c r="B47" s="6">
        <v>9</v>
      </c>
      <c r="C47" s="10" t="s">
        <v>26</v>
      </c>
      <c r="D47" s="3" t="s">
        <v>27</v>
      </c>
      <c r="E47" s="7" t="s">
        <v>5</v>
      </c>
      <c r="F47" s="7">
        <v>78000</v>
      </c>
    </row>
    <row r="69" spans="4:7" x14ac:dyDescent="0.25">
      <c r="E69" s="13"/>
    </row>
    <row r="71" spans="4:7" x14ac:dyDescent="0.25">
      <c r="G71" s="13"/>
    </row>
    <row r="72" spans="4:7" x14ac:dyDescent="0.25">
      <c r="D72" s="14"/>
    </row>
    <row r="73" spans="4:7" x14ac:dyDescent="0.25">
      <c r="D73" s="15"/>
    </row>
    <row r="74" spans="4:7" x14ac:dyDescent="0.25">
      <c r="D74" s="15"/>
    </row>
    <row r="75" spans="4:7" x14ac:dyDescent="0.25">
      <c r="D75" s="15"/>
    </row>
    <row r="76" spans="4:7" x14ac:dyDescent="0.25">
      <c r="D76" s="15"/>
    </row>
    <row r="77" spans="4:7" x14ac:dyDescent="0.25">
      <c r="D77" s="15"/>
    </row>
    <row r="78" spans="4:7" x14ac:dyDescent="0.25">
      <c r="D78" s="15"/>
    </row>
    <row r="79" spans="4:7" x14ac:dyDescent="0.25">
      <c r="D79" s="15"/>
    </row>
    <row r="80" spans="4:7" x14ac:dyDescent="0.25">
      <c r="D80" s="15"/>
    </row>
    <row r="81" spans="4:5" x14ac:dyDescent="0.25">
      <c r="D81" s="15"/>
    </row>
    <row r="82" spans="4:5" x14ac:dyDescent="0.25">
      <c r="D82" s="15"/>
    </row>
    <row r="84" spans="4:5" x14ac:dyDescent="0.25">
      <c r="E8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13" zoomScale="145" zoomScaleNormal="145" workbookViewId="0">
      <selection activeCell="D38" sqref="D38"/>
    </sheetView>
  </sheetViews>
  <sheetFormatPr defaultRowHeight="15" x14ac:dyDescent="0.25"/>
  <cols>
    <col min="2" max="2" width="11.5703125" bestFit="1" customWidth="1"/>
    <col min="3" max="3" width="16" customWidth="1"/>
    <col min="4" max="4" width="15" customWidth="1"/>
    <col min="5" max="5" width="18.140625" customWidth="1"/>
    <col min="6" max="6" width="12.28515625" customWidth="1"/>
    <col min="7" max="7" width="6.5703125" customWidth="1"/>
    <col min="8" max="8" width="13.140625" customWidth="1"/>
    <col min="9" max="9" width="12.85546875" customWidth="1"/>
  </cols>
  <sheetData>
    <row r="1" spans="2:12" x14ac:dyDescent="0.25">
      <c r="B1" s="1"/>
    </row>
    <row r="3" spans="2:12" x14ac:dyDescent="0.25">
      <c r="H3" s="4"/>
    </row>
    <row r="4" spans="2:12" x14ac:dyDescent="0.25">
      <c r="H4" s="4"/>
    </row>
    <row r="5" spans="2:12" x14ac:dyDescent="0.25">
      <c r="B5" s="23" t="s">
        <v>7</v>
      </c>
      <c r="C5" s="24" t="s">
        <v>8</v>
      </c>
      <c r="D5" s="24" t="s">
        <v>1</v>
      </c>
      <c r="E5" s="24" t="s">
        <v>0</v>
      </c>
      <c r="F5" s="24" t="s">
        <v>2</v>
      </c>
      <c r="H5" s="5"/>
      <c r="L5" s="2" t="s">
        <v>0</v>
      </c>
    </row>
    <row r="6" spans="2:12" x14ac:dyDescent="0.25">
      <c r="B6" s="6">
        <v>1</v>
      </c>
      <c r="C6" s="3" t="s">
        <v>9</v>
      </c>
      <c r="D6" s="3" t="s">
        <v>10</v>
      </c>
      <c r="E6" s="7" t="s">
        <v>3</v>
      </c>
      <c r="F6" s="7">
        <v>25000</v>
      </c>
      <c r="H6" s="8"/>
      <c r="L6" t="s">
        <v>3</v>
      </c>
    </row>
    <row r="7" spans="2:12" x14ac:dyDescent="0.25">
      <c r="B7" s="6">
        <v>2</v>
      </c>
      <c r="C7" s="3" t="s">
        <v>12</v>
      </c>
      <c r="D7" s="3" t="s">
        <v>13</v>
      </c>
      <c r="E7" s="7" t="s">
        <v>14</v>
      </c>
      <c r="F7" s="7">
        <v>32500</v>
      </c>
      <c r="H7" s="9"/>
    </row>
    <row r="8" spans="2:12" x14ac:dyDescent="0.25">
      <c r="B8" s="6">
        <v>3</v>
      </c>
      <c r="C8" s="3" t="s">
        <v>16</v>
      </c>
      <c r="D8" s="3" t="s">
        <v>10</v>
      </c>
      <c r="E8" s="7" t="s">
        <v>17</v>
      </c>
      <c r="F8" s="7">
        <v>12500</v>
      </c>
    </row>
    <row r="9" spans="2:12" x14ac:dyDescent="0.25">
      <c r="B9" s="6">
        <v>4</v>
      </c>
      <c r="C9" s="3" t="s">
        <v>18</v>
      </c>
      <c r="D9" s="3" t="s">
        <v>19</v>
      </c>
      <c r="E9" s="7" t="s">
        <v>20</v>
      </c>
      <c r="F9" s="7">
        <v>24500</v>
      </c>
    </row>
    <row r="10" spans="2:12" x14ac:dyDescent="0.25">
      <c r="B10" s="6">
        <v>5</v>
      </c>
      <c r="C10" s="3" t="s">
        <v>21</v>
      </c>
      <c r="D10" s="3" t="s">
        <v>13</v>
      </c>
      <c r="E10" s="7" t="s">
        <v>3</v>
      </c>
      <c r="F10" s="7">
        <v>23000</v>
      </c>
    </row>
    <row r="11" spans="2:12" x14ac:dyDescent="0.25">
      <c r="B11" s="6">
        <v>6</v>
      </c>
      <c r="C11" s="3" t="s">
        <v>22</v>
      </c>
      <c r="D11" s="3" t="s">
        <v>19</v>
      </c>
      <c r="E11" s="7" t="s">
        <v>3</v>
      </c>
      <c r="F11" s="7">
        <v>55000</v>
      </c>
      <c r="H11" s="5"/>
    </row>
    <row r="12" spans="2:12" x14ac:dyDescent="0.25">
      <c r="B12" s="6">
        <v>7</v>
      </c>
      <c r="C12" s="10" t="s">
        <v>23</v>
      </c>
      <c r="D12" s="3" t="s">
        <v>4</v>
      </c>
      <c r="E12" s="7" t="s">
        <v>24</v>
      </c>
      <c r="F12" s="7">
        <v>15000</v>
      </c>
      <c r="H12" s="8"/>
    </row>
    <row r="13" spans="2:12" x14ac:dyDescent="0.25">
      <c r="B13" s="6">
        <v>8</v>
      </c>
      <c r="C13" s="10" t="s">
        <v>25</v>
      </c>
      <c r="D13" s="3" t="s">
        <v>4</v>
      </c>
      <c r="E13" s="7" t="s">
        <v>5</v>
      </c>
      <c r="F13" s="7">
        <v>75000</v>
      </c>
      <c r="H13" s="8"/>
    </row>
    <row r="14" spans="2:12" x14ac:dyDescent="0.25">
      <c r="B14" s="6">
        <v>9</v>
      </c>
      <c r="C14" s="10" t="s">
        <v>26</v>
      </c>
      <c r="D14" s="3" t="s">
        <v>27</v>
      </c>
      <c r="E14" s="7" t="s">
        <v>5</v>
      </c>
      <c r="F14" s="7">
        <v>78000</v>
      </c>
    </row>
    <row r="15" spans="2:12" x14ac:dyDescent="0.25">
      <c r="B15" s="6">
        <v>10</v>
      </c>
      <c r="C15" s="10" t="s">
        <v>28</v>
      </c>
      <c r="D15" s="3" t="s">
        <v>13</v>
      </c>
      <c r="E15" s="7" t="s">
        <v>3</v>
      </c>
      <c r="F15" s="7">
        <v>32000</v>
      </c>
      <c r="H15" s="9"/>
    </row>
    <row r="17" spans="1:10" x14ac:dyDescent="0.25">
      <c r="A17" t="s">
        <v>53</v>
      </c>
      <c r="C17" s="2"/>
      <c r="D17" s="2" t="s">
        <v>1</v>
      </c>
      <c r="E17" s="2" t="s">
        <v>0</v>
      </c>
      <c r="F17" s="2" t="s">
        <v>2</v>
      </c>
    </row>
    <row r="18" spans="1:10" x14ac:dyDescent="0.25">
      <c r="C18" s="3"/>
      <c r="D18" s="3" t="s">
        <v>10</v>
      </c>
      <c r="E18" s="3" t="s">
        <v>3</v>
      </c>
      <c r="F18" s="3" t="s">
        <v>54</v>
      </c>
    </row>
    <row r="21" spans="1:10" ht="30" x14ac:dyDescent="0.25">
      <c r="D21" s="19">
        <v>1</v>
      </c>
      <c r="E21" s="20" t="s">
        <v>29</v>
      </c>
      <c r="F21" s="19">
        <f>DMAX(B5:F15,F5,E17:E18)</f>
        <v>55000</v>
      </c>
      <c r="H21">
        <f>DCOUNTA(B5:F15,D5,D17:D18)</f>
        <v>2</v>
      </c>
    </row>
    <row r="22" spans="1:10" ht="34.5" customHeight="1" x14ac:dyDescent="0.25">
      <c r="D22" s="3">
        <v>2</v>
      </c>
      <c r="E22" s="18" t="s">
        <v>30</v>
      </c>
      <c r="F22" s="3">
        <f>DSUM(B5:F15,F5,E17:E18)</f>
        <v>135000</v>
      </c>
    </row>
    <row r="23" spans="1:10" ht="30" x14ac:dyDescent="0.25">
      <c r="D23" s="19">
        <v>3</v>
      </c>
      <c r="E23" s="20" t="s">
        <v>31</v>
      </c>
      <c r="F23" s="19">
        <f>DMIN(B5:F15,F5,E17:E18)</f>
        <v>23000</v>
      </c>
    </row>
    <row r="24" spans="1:10" ht="45" x14ac:dyDescent="0.25">
      <c r="D24" s="3">
        <v>4</v>
      </c>
      <c r="E24" s="18" t="s">
        <v>32</v>
      </c>
      <c r="F24" s="3">
        <f>DCOUNT(B5:F15,F5,F17:F18)</f>
        <v>5</v>
      </c>
    </row>
    <row r="25" spans="1:10" ht="30" x14ac:dyDescent="0.25">
      <c r="D25" s="19">
        <v>5</v>
      </c>
      <c r="E25" s="20" t="s">
        <v>52</v>
      </c>
      <c r="F25" s="19">
        <f>DSUM(B5:F15,F5,H25:H26)</f>
        <v>153000</v>
      </c>
      <c r="H25" t="s">
        <v>2</v>
      </c>
      <c r="I25" s="2" t="s">
        <v>1</v>
      </c>
    </row>
    <row r="26" spans="1:10" ht="30" x14ac:dyDescent="0.25">
      <c r="D26" s="3">
        <v>6</v>
      </c>
      <c r="E26" s="21" t="s">
        <v>34</v>
      </c>
      <c r="F26" s="25">
        <f>DSUM(B5:F15,F5,I25:I26)</f>
        <v>90000</v>
      </c>
      <c r="H26" t="s">
        <v>6</v>
      </c>
      <c r="I26" s="3" t="s">
        <v>4</v>
      </c>
    </row>
    <row r="27" spans="1:10" ht="60" x14ac:dyDescent="0.25">
      <c r="B27" s="2" t="s">
        <v>0</v>
      </c>
      <c r="D27" s="19">
        <v>7</v>
      </c>
      <c r="E27" s="22" t="s">
        <v>55</v>
      </c>
      <c r="F27" s="19">
        <f>DCOUNTA(B5:F15,D5,D17:D18)</f>
        <v>2</v>
      </c>
    </row>
    <row r="28" spans="1:10" ht="60" x14ac:dyDescent="0.25">
      <c r="B28" t="s">
        <v>3</v>
      </c>
      <c r="D28" s="3">
        <v>8</v>
      </c>
      <c r="E28" s="21" t="s">
        <v>57</v>
      </c>
      <c r="F28" s="25">
        <f>DSUM(B5:F15,F5,I28:J29)</f>
        <v>75000</v>
      </c>
      <c r="I28" s="2" t="s">
        <v>1</v>
      </c>
      <c r="J28" t="s">
        <v>2</v>
      </c>
    </row>
    <row r="29" spans="1:10" x14ac:dyDescent="0.25">
      <c r="D29" s="19">
        <v>9</v>
      </c>
      <c r="E29" s="22"/>
      <c r="F29" s="19"/>
      <c r="H29" s="11"/>
      <c r="I29" s="3" t="s">
        <v>4</v>
      </c>
      <c r="J29" s="11" t="s">
        <v>56</v>
      </c>
    </row>
    <row r="30" spans="1:10" x14ac:dyDescent="0.25">
      <c r="B30" s="2" t="s">
        <v>2</v>
      </c>
      <c r="D30" s="3">
        <v>10</v>
      </c>
      <c r="E30" s="18"/>
      <c r="F30" s="25"/>
    </row>
    <row r="31" spans="1:10" x14ac:dyDescent="0.25">
      <c r="B31" t="s">
        <v>33</v>
      </c>
      <c r="D31" s="19"/>
      <c r="E31" s="20"/>
      <c r="F31" s="19"/>
    </row>
    <row r="48" spans="2:6" x14ac:dyDescent="0.25">
      <c r="B48" s="1" t="s">
        <v>7</v>
      </c>
      <c r="C48" s="2" t="s">
        <v>8</v>
      </c>
      <c r="D48" s="2" t="s">
        <v>1</v>
      </c>
      <c r="E48" s="2" t="s">
        <v>0</v>
      </c>
      <c r="F48" s="2" t="s">
        <v>2</v>
      </c>
    </row>
    <row r="49" spans="2:6" x14ac:dyDescent="0.25">
      <c r="B49" s="6">
        <v>8</v>
      </c>
      <c r="C49" s="10" t="s">
        <v>25</v>
      </c>
      <c r="D49" s="3" t="s">
        <v>4</v>
      </c>
      <c r="E49" s="7" t="s">
        <v>5</v>
      </c>
      <c r="F49" s="7">
        <v>75000</v>
      </c>
    </row>
    <row r="50" spans="2:6" x14ac:dyDescent="0.25">
      <c r="B50" s="6">
        <v>9</v>
      </c>
      <c r="C50" s="10" t="s">
        <v>26</v>
      </c>
      <c r="D50" s="3" t="s">
        <v>27</v>
      </c>
      <c r="E50" s="7" t="s">
        <v>5</v>
      </c>
      <c r="F50" s="7">
        <v>78000</v>
      </c>
    </row>
    <row r="72" spans="4:7" x14ac:dyDescent="0.25">
      <c r="E72" s="13"/>
    </row>
    <row r="74" spans="4:7" x14ac:dyDescent="0.25">
      <c r="G74" s="13"/>
    </row>
    <row r="75" spans="4:7" x14ac:dyDescent="0.25">
      <c r="D75" s="14"/>
    </row>
    <row r="76" spans="4:7" x14ac:dyDescent="0.25">
      <c r="D76" s="15"/>
    </row>
    <row r="77" spans="4:7" x14ac:dyDescent="0.25">
      <c r="D77" s="15"/>
    </row>
    <row r="78" spans="4:7" x14ac:dyDescent="0.25">
      <c r="D78" s="15"/>
    </row>
    <row r="79" spans="4:7" x14ac:dyDescent="0.25">
      <c r="D79" s="15"/>
    </row>
    <row r="80" spans="4:7" x14ac:dyDescent="0.25">
      <c r="D80" s="15"/>
    </row>
    <row r="81" spans="4:5" x14ac:dyDescent="0.25">
      <c r="D81" s="15"/>
    </row>
    <row r="82" spans="4:5" x14ac:dyDescent="0.25">
      <c r="D82" s="15"/>
    </row>
    <row r="83" spans="4:5" x14ac:dyDescent="0.25">
      <c r="D83" s="15"/>
    </row>
    <row r="84" spans="4:5" x14ac:dyDescent="0.25">
      <c r="D84" s="15"/>
    </row>
    <row r="85" spans="4:5" x14ac:dyDescent="0.25">
      <c r="D85" s="15"/>
    </row>
    <row r="87" spans="4:5" x14ac:dyDescent="0.25">
      <c r="E8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2"/>
  <sheetViews>
    <sheetView zoomScale="115" zoomScaleNormal="115" workbookViewId="0">
      <selection activeCell="C9" sqref="C9"/>
    </sheetView>
  </sheetViews>
  <sheetFormatPr defaultRowHeight="15" x14ac:dyDescent="0.25"/>
  <cols>
    <col min="3" max="3" width="27.140625" customWidth="1"/>
    <col min="5" max="5" width="22" customWidth="1"/>
  </cols>
  <sheetData>
    <row r="3" spans="3:5" x14ac:dyDescent="0.25">
      <c r="C3" t="s">
        <v>41</v>
      </c>
    </row>
    <row r="4" spans="3:5" ht="23.25" x14ac:dyDescent="0.35">
      <c r="C4" t="s">
        <v>42</v>
      </c>
      <c r="E4" s="17" t="s">
        <v>51</v>
      </c>
    </row>
    <row r="5" spans="3:5" x14ac:dyDescent="0.25">
      <c r="C5" t="s">
        <v>43</v>
      </c>
    </row>
    <row r="6" spans="3:5" x14ac:dyDescent="0.25">
      <c r="C6" t="s">
        <v>44</v>
      </c>
    </row>
    <row r="7" spans="3:5" x14ac:dyDescent="0.25">
      <c r="C7" t="s">
        <v>45</v>
      </c>
    </row>
    <row r="8" spans="3:5" x14ac:dyDescent="0.25">
      <c r="C8" t="s">
        <v>46</v>
      </c>
    </row>
    <row r="9" spans="3:5" x14ac:dyDescent="0.25">
      <c r="C9" t="s">
        <v>47</v>
      </c>
    </row>
    <row r="10" spans="3:5" x14ac:dyDescent="0.25">
      <c r="C10" t="s">
        <v>48</v>
      </c>
    </row>
    <row r="11" spans="3:5" x14ac:dyDescent="0.25">
      <c r="C11" t="s">
        <v>49</v>
      </c>
    </row>
    <row r="12" spans="3:5" x14ac:dyDescent="0.25">
      <c r="C12" t="s">
        <v>50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Database functions01</vt:lpstr>
      <vt:lpstr>Database functions</vt:lpstr>
      <vt:lpstr>Sheet2</vt:lpstr>
      <vt:lpstr>'Database functions01'!Criteria</vt:lpstr>
      <vt:lpstr>'Database functions'!Extract</vt:lpstr>
      <vt:lpstr>'Database functions01'!Extract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2024-02-03T12:25:03Z</dcterms:created>
  <dcterms:modified xsi:type="dcterms:W3CDTF">2024-02-18T00:56:34Z</dcterms:modified>
</cp:coreProperties>
</file>