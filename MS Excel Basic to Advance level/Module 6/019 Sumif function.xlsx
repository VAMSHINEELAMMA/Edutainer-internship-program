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sum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aaaaaa">#REF!</definedName>
    <definedName name="amarks">#REF!</definedName>
    <definedName name="cost">[2]Sheet22!$D$4</definedName>
    <definedName name="criteria1" localSheetId="0">'[3]Advance filter'!#REF!</definedName>
    <definedName name="criteria1">'[3]Advance filter'!#REF!</definedName>
    <definedName name="Employee_ID">"sheet34!a1:a10"</definedName>
    <definedName name="etype" localSheetId="0">'[4]Data validation'!$G$29:$G$31</definedName>
    <definedName name="etype">'[5]Data validation'!$G$29:$G$31</definedName>
    <definedName name="GST">'[6]Cell references'!$H$18</definedName>
    <definedName name="lap_price" localSheetId="0">#REF!</definedName>
    <definedName name="lap_price">'[7]Financial functions'!$B$114</definedName>
    <definedName name="lap_price2">#REF!</definedName>
    <definedName name="lap_qty" localSheetId="0">#REF!</definedName>
    <definedName name="lap_qty">'[7]Financial functions'!$B$115</definedName>
    <definedName name="laptop_price" localSheetId="0">#REF!</definedName>
    <definedName name="laptop_price">#REF!</definedName>
    <definedName name="Laptop_qty" localSheetId="0">#REF!</definedName>
    <definedName name="Laptop_qty">#REF!</definedName>
    <definedName name="marks_list" localSheetId="0">#REF!</definedName>
    <definedName name="marks_list">'[8]Define name'!$G$10:$G$14</definedName>
    <definedName name="marks_list1" localSheetId="0">#REF!</definedName>
    <definedName name="marks_list1">#REF!</definedName>
    <definedName name="mobileprice" localSheetId="0">'[9]relative cell reference'!#REF!</definedName>
    <definedName name="mobileprice">'[10]relative cell reference'!#REF!</definedName>
    <definedName name="PF" localSheetId="0">[9]Sheet15!$B$3</definedName>
    <definedName name="PF">[10]Sheet15!$B$3</definedName>
    <definedName name="Price" localSheetId="0">'[9]relative cell reference'!#REF!</definedName>
    <definedName name="Price">'[10]relative cell reference'!#REF!</definedName>
    <definedName name="qty">[2]Sheet22!$D$5</definedName>
    <definedName name="quantity" localSheetId="0">'[9]relative cell reference'!#REF!</definedName>
    <definedName name="quantity">'[10]relative cell reference'!#REF!</definedName>
    <definedName name="salary">[2]Sheet22!$F$2:$F$6</definedName>
    <definedName name="salesvalue">[11]Sheet25!$E$3:$E$10</definedName>
    <definedName name="totaltax" localSheetId="0">'[9]relative cell reference'!#REF!</definedName>
    <definedName name="totaltax">'[10]relative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1" i="1" l="1"/>
  <c r="H119" i="1"/>
  <c r="F119" i="1"/>
  <c r="I100" i="1"/>
  <c r="I97" i="1"/>
  <c r="I94" i="1"/>
  <c r="I91" i="1"/>
  <c r="I89" i="1"/>
  <c r="B74" i="1"/>
  <c r="I72" i="1"/>
  <c r="K70" i="1"/>
  <c r="N66" i="1"/>
  <c r="I66" i="1"/>
  <c r="I70" i="1" s="1"/>
  <c r="F61" i="1"/>
  <c r="F59" i="1"/>
  <c r="I22" i="1"/>
  <c r="E22" i="1"/>
  <c r="I21" i="1"/>
  <c r="I20" i="1"/>
  <c r="I19" i="1"/>
  <c r="I16" i="1"/>
  <c r="I14" i="1"/>
  <c r="I10" i="1"/>
  <c r="I8" i="1"/>
  <c r="I6" i="1"/>
  <c r="I4" i="1"/>
  <c r="I71" i="1" l="1"/>
</calcChain>
</file>

<file path=xl/sharedStrings.xml><?xml version="1.0" encoding="utf-8"?>
<sst xmlns="http://schemas.openxmlformats.org/spreadsheetml/2006/main" count="251" uniqueCount="93">
  <si>
    <t>Employee ID</t>
  </si>
  <si>
    <t>Name</t>
  </si>
  <si>
    <t>TYPE</t>
  </si>
  <si>
    <t>DEPARTMENT</t>
  </si>
  <si>
    <t>SALARY</t>
  </si>
  <si>
    <t>CITY</t>
  </si>
  <si>
    <t>A001</t>
  </si>
  <si>
    <t>Vinaykumar</t>
  </si>
  <si>
    <t>Permanent</t>
  </si>
  <si>
    <t>Administration</t>
  </si>
  <si>
    <t>Mumbai</t>
  </si>
  <si>
    <t>A002</t>
  </si>
  <si>
    <t>Rajeev</t>
  </si>
  <si>
    <t>Temporary</t>
  </si>
  <si>
    <t>Sales</t>
  </si>
  <si>
    <t>Chennai</t>
  </si>
  <si>
    <t>A003</t>
  </si>
  <si>
    <t>Prasad</t>
  </si>
  <si>
    <t>Contract</t>
  </si>
  <si>
    <t>Marketing</t>
  </si>
  <si>
    <t>Delhi</t>
  </si>
  <si>
    <t>A004</t>
  </si>
  <si>
    <t>Sunitha</t>
  </si>
  <si>
    <t>Human Resource</t>
  </si>
  <si>
    <t>Kolkata</t>
  </si>
  <si>
    <t>A005</t>
  </si>
  <si>
    <t>Robert</t>
  </si>
  <si>
    <t>Training</t>
  </si>
  <si>
    <t>Ahmadabad</t>
  </si>
  <si>
    <t>A006</t>
  </si>
  <si>
    <t>Daya</t>
  </si>
  <si>
    <t>Production</t>
  </si>
  <si>
    <t>Noida</t>
  </si>
  <si>
    <t>A007</t>
  </si>
  <si>
    <t>Mahesh</t>
  </si>
  <si>
    <t>Quality</t>
  </si>
  <si>
    <t>A008</t>
  </si>
  <si>
    <t>Robin</t>
  </si>
  <si>
    <t>Hyderabad</t>
  </si>
  <si>
    <t>A009</t>
  </si>
  <si>
    <t>Venkatesh</t>
  </si>
  <si>
    <t>Vizag</t>
  </si>
  <si>
    <t>&gt;=20000</t>
  </si>
  <si>
    <t>A010</t>
  </si>
  <si>
    <t>Vivek</t>
  </si>
  <si>
    <t>Bangalore</t>
  </si>
  <si>
    <t>A011</t>
  </si>
  <si>
    <t>Kumar</t>
  </si>
  <si>
    <t>A012</t>
  </si>
  <si>
    <t>Vasanth</t>
  </si>
  <si>
    <t>Averageif</t>
  </si>
  <si>
    <t>A013</t>
  </si>
  <si>
    <t>Lokesh</t>
  </si>
  <si>
    <t>A014</t>
  </si>
  <si>
    <t>Bharath</t>
  </si>
  <si>
    <t>A015</t>
  </si>
  <si>
    <t>Ananth</t>
  </si>
  <si>
    <t>A016</t>
  </si>
  <si>
    <t>Chethan</t>
  </si>
  <si>
    <t>A017</t>
  </si>
  <si>
    <t>Gautham</t>
  </si>
  <si>
    <t>A018</t>
  </si>
  <si>
    <t>Harish</t>
  </si>
  <si>
    <t>Countif</t>
  </si>
  <si>
    <t>A019</t>
  </si>
  <si>
    <t>Jaganath</t>
  </si>
  <si>
    <t>A020</t>
  </si>
  <si>
    <t>Imran</t>
  </si>
  <si>
    <t>Total salary</t>
  </si>
  <si>
    <t>contract salary</t>
  </si>
  <si>
    <t>=SUMIF(C2:C21,"Contract",E2:E21)</t>
  </si>
  <si>
    <t>Salary &gt;=20000</t>
  </si>
  <si>
    <t>=SUMIF(E2:E21,"&gt;=20000",E2:E21)</t>
  </si>
  <si>
    <t>permanent</t>
  </si>
  <si>
    <t>=COUNTIF(C2:C21,"Permanent")</t>
  </si>
  <si>
    <t>Temporary and Sales</t>
  </si>
  <si>
    <t>=SUMIFS(E2:E21,C2:C21,"Temporary",D2:D21,"Sales")</t>
  </si>
  <si>
    <t>Temporary and Bangalore</t>
  </si>
  <si>
    <t>=COUNTIFS(C2:C21,"Temporary",F2:F21,"Bangalore")</t>
  </si>
  <si>
    <t>Average sal Temp</t>
  </si>
  <si>
    <t>=ROUND(AVERAGEIF(C2:C21,"Temporary",E2:E21),0)</t>
  </si>
  <si>
    <t>min</t>
  </si>
  <si>
    <t>max</t>
  </si>
  <si>
    <t>2nd highest</t>
  </si>
  <si>
    <t>vivo</t>
  </si>
  <si>
    <t>2 lowest</t>
  </si>
  <si>
    <t>noikia</t>
  </si>
  <si>
    <t>samsung</t>
  </si>
  <si>
    <t>oppo</t>
  </si>
  <si>
    <t>Text</t>
  </si>
  <si>
    <t>TExt1</t>
  </si>
  <si>
    <t>TExt2</t>
  </si>
  <si>
    <t>TExt3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</si>
</sst>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6D0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Fill="1" applyBorder="1"/>
    <xf numFmtId="0" fontId="3" fillId="0" borderId="2" xfId="0" applyFont="1" applyFill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2" xfId="0" applyFont="1" applyFill="1" applyBorder="1"/>
    <xf numFmtId="0" fontId="0" fillId="0" borderId="0" xfId="0" quotePrefix="1"/>
    <xf numFmtId="0" fontId="1" fillId="0" borderId="3" xfId="0" applyFont="1" applyFill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quotePrefix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Technical%20training/Titon%20Valves/demo%2014-09-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Srivathsa%20Tanish/Excel%20Dem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calculation"/>
      <sheetName val="Conditional formatting"/>
      <sheetName val="Simple functions"/>
      <sheetName val="Sorting"/>
      <sheetName val="Filtering"/>
      <sheetName val="Round function"/>
      <sheetName val="Absolute reference"/>
      <sheetName val="Simple if"/>
      <sheetName val="Salary statement"/>
      <sheetName val="printing in excel"/>
      <sheetName val="text data"/>
      <sheetName val="sumif"/>
      <sheetName val="Data validation"/>
      <sheetName val="Advance filter"/>
      <sheetName val="Sales chart"/>
      <sheetName val="Sales data"/>
      <sheetName val="Pie chart"/>
      <sheetName val="piechart 2"/>
      <sheetName val="Pie chart data"/>
      <sheetName val="Goal seek"/>
      <sheetName val="Scenario Summary"/>
      <sheetName val="Scenarios"/>
      <sheetName val="Date"/>
      <sheetName val="Subtotal"/>
      <sheetName val="Lookup"/>
      <sheetName val="hlookup"/>
      <sheetName val="VLookup"/>
      <sheetName val="Sheet1"/>
      <sheetName val="Sheet2"/>
      <sheetName val="Pivot table"/>
      <sheetName val="Pivot data"/>
      <sheetName val="Spark lines"/>
      <sheetName val="index match"/>
      <sheetName val="Sheet34"/>
      <sheetName val="Sheet36"/>
      <sheetName val="Sheet37"/>
      <sheetName val="prin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7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Chart2"/>
      <sheetName val="sales data"/>
      <sheetName val="Chart3"/>
      <sheetName val="pie data"/>
      <sheetName val="Chart4"/>
      <sheetName val="line chart data"/>
      <sheetName val="text data"/>
      <sheetName val="SUMIF"/>
      <sheetName val="SUMIF function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5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  <sheetName val="SUMIF (2)"/>
      <sheetName val="Large function"/>
      <sheetName val="sales chart"/>
      <sheetName val="Pie chart"/>
      <sheetName val="line chart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2"/>
      <sheetData sheetId="23"/>
      <sheetData sheetId="24"/>
      <sheetData sheetId="25"/>
      <sheetData sheetId="26"/>
      <sheetData sheetId="27">
        <row r="1">
          <cell r="A1" t="str">
            <v>Employee ID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>
            <v>0.125</v>
          </cell>
        </row>
      </sheetData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tabSelected="1" zoomScale="110" zoomScaleNormal="110" workbookViewId="0">
      <selection activeCell="I8" sqref="I8"/>
    </sheetView>
  </sheetViews>
  <sheetFormatPr defaultRowHeight="15" x14ac:dyDescent="0.25"/>
  <cols>
    <col min="1" max="1" width="8.85546875" bestFit="1" customWidth="1"/>
    <col min="2" max="2" width="15.28515625" customWidth="1"/>
    <col min="3" max="3" width="10.85546875" bestFit="1" customWidth="1"/>
    <col min="4" max="4" width="16" bestFit="1" customWidth="1"/>
    <col min="5" max="5" width="12.5703125" customWidth="1"/>
    <col min="6" max="6" width="18" customWidth="1"/>
    <col min="8" max="8" width="23.28515625" customWidth="1"/>
    <col min="9" max="9" width="20" customWidth="1"/>
  </cols>
  <sheetData>
    <row r="1" spans="1:12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25">
      <c r="A2" s="2" t="s">
        <v>6</v>
      </c>
      <c r="B2" s="3" t="s">
        <v>7</v>
      </c>
      <c r="C2" s="4" t="s">
        <v>8</v>
      </c>
      <c r="D2" s="4" t="s">
        <v>9</v>
      </c>
      <c r="E2" s="5">
        <v>16500</v>
      </c>
      <c r="F2" s="6" t="s">
        <v>10</v>
      </c>
    </row>
    <row r="3" spans="1:12" x14ac:dyDescent="0.25">
      <c r="A3" s="2" t="s">
        <v>11</v>
      </c>
      <c r="B3" s="3" t="s">
        <v>12</v>
      </c>
      <c r="C3" s="4" t="s">
        <v>13</v>
      </c>
      <c r="D3" s="4" t="s">
        <v>14</v>
      </c>
      <c r="E3" s="5">
        <v>17400</v>
      </c>
      <c r="F3" s="6" t="s">
        <v>15</v>
      </c>
    </row>
    <row r="4" spans="1:12" x14ac:dyDescent="0.25">
      <c r="A4" s="2" t="s">
        <v>16</v>
      </c>
      <c r="B4" s="3" t="s">
        <v>17</v>
      </c>
      <c r="C4" s="4" t="s">
        <v>18</v>
      </c>
      <c r="D4" s="4" t="s">
        <v>19</v>
      </c>
      <c r="E4" s="5">
        <v>18500</v>
      </c>
      <c r="F4" s="6" t="s">
        <v>20</v>
      </c>
      <c r="H4" s="7" t="s">
        <v>9</v>
      </c>
      <c r="I4">
        <f>SUMIF(D2:D21,H4,E2:E21)</f>
        <v>70500</v>
      </c>
    </row>
    <row r="5" spans="1:12" x14ac:dyDescent="0.25">
      <c r="A5" s="2" t="s">
        <v>21</v>
      </c>
      <c r="B5" s="3" t="s">
        <v>22</v>
      </c>
      <c r="C5" s="4" t="s">
        <v>13</v>
      </c>
      <c r="D5" s="4" t="s">
        <v>23</v>
      </c>
      <c r="E5" s="5">
        <v>13500</v>
      </c>
      <c r="F5" s="6" t="s">
        <v>24</v>
      </c>
    </row>
    <row r="6" spans="1:12" x14ac:dyDescent="0.25">
      <c r="A6" s="2" t="s">
        <v>25</v>
      </c>
      <c r="B6" s="3" t="s">
        <v>26</v>
      </c>
      <c r="C6" s="4" t="s">
        <v>18</v>
      </c>
      <c r="D6" s="4" t="s">
        <v>27</v>
      </c>
      <c r="E6" s="5">
        <v>19000</v>
      </c>
      <c r="F6" s="6" t="s">
        <v>28</v>
      </c>
      <c r="H6" s="7" t="s">
        <v>10</v>
      </c>
      <c r="I6">
        <f>SUMIF(F2:F21,"Mumbai",E2:E21)</f>
        <v>31300</v>
      </c>
    </row>
    <row r="7" spans="1:12" x14ac:dyDescent="0.25">
      <c r="A7" s="2" t="s">
        <v>29</v>
      </c>
      <c r="B7" s="3" t="s">
        <v>30</v>
      </c>
      <c r="C7" s="4" t="s">
        <v>8</v>
      </c>
      <c r="D7" s="4" t="s">
        <v>31</v>
      </c>
      <c r="E7" s="5">
        <v>25000</v>
      </c>
      <c r="F7" s="6" t="s">
        <v>32</v>
      </c>
    </row>
    <row r="8" spans="1:12" x14ac:dyDescent="0.25">
      <c r="A8" s="2" t="s">
        <v>33</v>
      </c>
      <c r="B8" s="3" t="s">
        <v>34</v>
      </c>
      <c r="C8" s="4" t="s">
        <v>18</v>
      </c>
      <c r="D8" s="4" t="s">
        <v>35</v>
      </c>
      <c r="E8" s="5">
        <v>21000</v>
      </c>
      <c r="F8" s="6" t="s">
        <v>15</v>
      </c>
      <c r="H8" s="7" t="s">
        <v>8</v>
      </c>
      <c r="I8">
        <f>SUMIF(C2:C21,"Permanent",E2:E21)</f>
        <v>145200</v>
      </c>
    </row>
    <row r="9" spans="1:12" x14ac:dyDescent="0.25">
      <c r="A9" s="2" t="s">
        <v>36</v>
      </c>
      <c r="B9" s="3" t="s">
        <v>37</v>
      </c>
      <c r="C9" s="4" t="s">
        <v>13</v>
      </c>
      <c r="D9" s="4" t="s">
        <v>9</v>
      </c>
      <c r="E9" s="5">
        <v>17500</v>
      </c>
      <c r="F9" s="6" t="s">
        <v>38</v>
      </c>
    </row>
    <row r="10" spans="1:12" x14ac:dyDescent="0.25">
      <c r="A10" s="2" t="s">
        <v>39</v>
      </c>
      <c r="B10" s="3" t="s">
        <v>40</v>
      </c>
      <c r="C10" s="4" t="s">
        <v>8</v>
      </c>
      <c r="D10" s="4" t="s">
        <v>14</v>
      </c>
      <c r="E10" s="5">
        <v>18600</v>
      </c>
      <c r="F10" s="6" t="s">
        <v>41</v>
      </c>
      <c r="H10" s="7" t="s">
        <v>42</v>
      </c>
      <c r="I10">
        <f>SUMIF(E2:E21,H10,E2:E21)</f>
        <v>68000</v>
      </c>
    </row>
    <row r="11" spans="1:12" x14ac:dyDescent="0.25">
      <c r="A11" s="2" t="s">
        <v>43</v>
      </c>
      <c r="B11" s="3" t="s">
        <v>44</v>
      </c>
      <c r="C11" s="4" t="s">
        <v>8</v>
      </c>
      <c r="D11" s="4" t="s">
        <v>19</v>
      </c>
      <c r="E11" s="5">
        <v>22000</v>
      </c>
      <c r="F11" s="6" t="s">
        <v>45</v>
      </c>
    </row>
    <row r="12" spans="1:12" x14ac:dyDescent="0.25">
      <c r="A12" s="2" t="s">
        <v>46</v>
      </c>
      <c r="B12" s="8" t="s">
        <v>47</v>
      </c>
      <c r="C12" s="8" t="s">
        <v>13</v>
      </c>
      <c r="D12" s="8" t="s">
        <v>14</v>
      </c>
      <c r="E12" s="8">
        <v>17400</v>
      </c>
      <c r="F12" s="9" t="s">
        <v>45</v>
      </c>
    </row>
    <row r="13" spans="1:12" x14ac:dyDescent="0.25">
      <c r="A13" s="2" t="s">
        <v>48</v>
      </c>
      <c r="B13" s="8" t="s">
        <v>49</v>
      </c>
      <c r="C13" s="8" t="s">
        <v>8</v>
      </c>
      <c r="D13" s="8" t="s">
        <v>19</v>
      </c>
      <c r="E13" s="8">
        <v>16500</v>
      </c>
      <c r="F13" s="9" t="s">
        <v>38</v>
      </c>
      <c r="H13" s="10" t="s">
        <v>50</v>
      </c>
    </row>
    <row r="14" spans="1:12" x14ac:dyDescent="0.25">
      <c r="A14" s="2" t="s">
        <v>51</v>
      </c>
      <c r="B14" s="8" t="s">
        <v>52</v>
      </c>
      <c r="C14" s="8" t="s">
        <v>8</v>
      </c>
      <c r="D14" s="8" t="s">
        <v>9</v>
      </c>
      <c r="E14" s="8">
        <v>18000</v>
      </c>
      <c r="F14" s="9" t="s">
        <v>32</v>
      </c>
      <c r="H14" s="10" t="s">
        <v>10</v>
      </c>
      <c r="I14">
        <f>AVERAGEIF(F2:F21,H14,E2:E21)</f>
        <v>15650</v>
      </c>
    </row>
    <row r="15" spans="1:12" x14ac:dyDescent="0.25">
      <c r="A15" s="2" t="s">
        <v>53</v>
      </c>
      <c r="B15" s="8" t="s">
        <v>54</v>
      </c>
      <c r="C15" s="8" t="s">
        <v>13</v>
      </c>
      <c r="D15" s="8" t="s">
        <v>35</v>
      </c>
      <c r="E15" s="8">
        <v>17500</v>
      </c>
      <c r="F15" s="9" t="s">
        <v>45</v>
      </c>
      <c r="J15" s="11"/>
      <c r="L15" s="11"/>
    </row>
    <row r="16" spans="1:12" x14ac:dyDescent="0.25">
      <c r="A16" s="2" t="s">
        <v>55</v>
      </c>
      <c r="B16" s="8" t="s">
        <v>56</v>
      </c>
      <c r="C16" s="8" t="s">
        <v>13</v>
      </c>
      <c r="D16" s="8" t="s">
        <v>27</v>
      </c>
      <c r="E16" s="8">
        <v>19600</v>
      </c>
      <c r="F16" s="9" t="s">
        <v>24</v>
      </c>
      <c r="H16" s="10" t="s">
        <v>8</v>
      </c>
      <c r="I16">
        <f>AVERAGEIF(C2:C21,H16,E2:E21)</f>
        <v>18150</v>
      </c>
    </row>
    <row r="17" spans="1:9" x14ac:dyDescent="0.25">
      <c r="A17" s="2" t="s">
        <v>57</v>
      </c>
      <c r="B17" s="8" t="s">
        <v>58</v>
      </c>
      <c r="C17" s="8" t="s">
        <v>8</v>
      </c>
      <c r="D17" s="8" t="s">
        <v>23</v>
      </c>
      <c r="E17" s="8">
        <v>13800</v>
      </c>
      <c r="F17" s="9" t="s">
        <v>20</v>
      </c>
    </row>
    <row r="18" spans="1:9" x14ac:dyDescent="0.25">
      <c r="A18" s="2" t="s">
        <v>59</v>
      </c>
      <c r="B18" s="8" t="s">
        <v>60</v>
      </c>
      <c r="C18" s="8" t="s">
        <v>18</v>
      </c>
      <c r="D18" s="8" t="s">
        <v>14</v>
      </c>
      <c r="E18" s="8">
        <v>16500</v>
      </c>
      <c r="F18" s="9" t="s">
        <v>15</v>
      </c>
    </row>
    <row r="19" spans="1:9" x14ac:dyDescent="0.25">
      <c r="A19" s="2" t="s">
        <v>61</v>
      </c>
      <c r="B19" s="8" t="s">
        <v>62</v>
      </c>
      <c r="C19" s="8" t="s">
        <v>8</v>
      </c>
      <c r="D19" s="8" t="s">
        <v>31</v>
      </c>
      <c r="E19" s="8">
        <v>14800</v>
      </c>
      <c r="F19" s="9" t="s">
        <v>10</v>
      </c>
      <c r="H19" s="10" t="s">
        <v>63</v>
      </c>
      <c r="I19">
        <f>COUNTIF(D2:D21,"Sales")</f>
        <v>4</v>
      </c>
    </row>
    <row r="20" spans="1:9" x14ac:dyDescent="0.25">
      <c r="A20" s="2" t="s">
        <v>64</v>
      </c>
      <c r="B20" s="8" t="s">
        <v>65</v>
      </c>
      <c r="C20" s="8" t="s">
        <v>13</v>
      </c>
      <c r="D20" s="8" t="s">
        <v>9</v>
      </c>
      <c r="E20" s="8">
        <v>18500</v>
      </c>
      <c r="F20" s="9" t="s">
        <v>20</v>
      </c>
      <c r="I20">
        <f>COUNTIF(F2:F21,"Hyderabad")</f>
        <v>2</v>
      </c>
    </row>
    <row r="21" spans="1:9" x14ac:dyDescent="0.25">
      <c r="A21" s="2" t="s">
        <v>66</v>
      </c>
      <c r="B21" s="8" t="s">
        <v>67</v>
      </c>
      <c r="C21" s="8" t="s">
        <v>18</v>
      </c>
      <c r="D21" s="8" t="s">
        <v>35</v>
      </c>
      <c r="E21" s="8">
        <v>17400</v>
      </c>
      <c r="F21" s="9" t="s">
        <v>24</v>
      </c>
      <c r="I21">
        <f>COUNTIF(C2:C21,"Contract")</f>
        <v>5</v>
      </c>
    </row>
    <row r="22" spans="1:9" x14ac:dyDescent="0.25">
      <c r="D22" s="12" t="s">
        <v>68</v>
      </c>
      <c r="E22" s="13">
        <f>SUM(E2:E21)</f>
        <v>359000</v>
      </c>
      <c r="I22">
        <f>COUNTIF(E2:E21,"&lt;=15000")</f>
        <v>3</v>
      </c>
    </row>
    <row r="23" spans="1:9" x14ac:dyDescent="0.25">
      <c r="D23" s="14"/>
    </row>
    <row r="24" spans="1:9" x14ac:dyDescent="0.25">
      <c r="D24" s="14"/>
    </row>
    <row r="25" spans="1:9" x14ac:dyDescent="0.25">
      <c r="D25" s="14" t="s">
        <v>69</v>
      </c>
      <c r="E25" s="15" t="s">
        <v>70</v>
      </c>
    </row>
    <row r="26" spans="1:9" x14ac:dyDescent="0.25">
      <c r="D26" s="14" t="s">
        <v>71</v>
      </c>
      <c r="E26" s="11" t="s">
        <v>72</v>
      </c>
    </row>
    <row r="28" spans="1:9" x14ac:dyDescent="0.25">
      <c r="D28" t="s">
        <v>73</v>
      </c>
      <c r="E28" s="11" t="s">
        <v>74</v>
      </c>
    </row>
    <row r="30" spans="1:9" x14ac:dyDescent="0.25">
      <c r="D30" t="s">
        <v>75</v>
      </c>
      <c r="E30" s="15" t="s">
        <v>76</v>
      </c>
    </row>
    <row r="32" spans="1:9" x14ac:dyDescent="0.25">
      <c r="D32" t="s">
        <v>77</v>
      </c>
      <c r="E32" s="11" t="s">
        <v>78</v>
      </c>
    </row>
    <row r="34" spans="4:5" x14ac:dyDescent="0.25">
      <c r="D34" t="s">
        <v>79</v>
      </c>
      <c r="E34" s="11" t="s">
        <v>80</v>
      </c>
    </row>
    <row r="52" spans="2:14" x14ac:dyDescent="0.25">
      <c r="B52" s="1" t="s">
        <v>4</v>
      </c>
    </row>
    <row r="53" spans="2:14" x14ac:dyDescent="0.25">
      <c r="B53" s="5">
        <v>16500</v>
      </c>
    </row>
    <row r="54" spans="2:14" x14ac:dyDescent="0.25">
      <c r="B54" s="5">
        <v>17400</v>
      </c>
    </row>
    <row r="55" spans="2:14" x14ac:dyDescent="0.25">
      <c r="B55" s="5">
        <v>18500</v>
      </c>
    </row>
    <row r="56" spans="2:14" x14ac:dyDescent="0.25">
      <c r="B56" s="5">
        <v>13500</v>
      </c>
    </row>
    <row r="57" spans="2:14" x14ac:dyDescent="0.25">
      <c r="B57" s="5">
        <v>19000</v>
      </c>
      <c r="E57" t="s">
        <v>81</v>
      </c>
    </row>
    <row r="58" spans="2:14" x14ac:dyDescent="0.25">
      <c r="B58" s="5">
        <v>25000</v>
      </c>
      <c r="E58" t="s">
        <v>82</v>
      </c>
    </row>
    <row r="59" spans="2:14" x14ac:dyDescent="0.25">
      <c r="B59" s="5">
        <v>21000</v>
      </c>
      <c r="E59" t="s">
        <v>83</v>
      </c>
      <c r="F59">
        <f>LARGE(B53:B72,5)</f>
        <v>19000</v>
      </c>
    </row>
    <row r="60" spans="2:14" x14ac:dyDescent="0.25">
      <c r="B60" s="5">
        <v>17500</v>
      </c>
      <c r="N60" t="s">
        <v>84</v>
      </c>
    </row>
    <row r="61" spans="2:14" x14ac:dyDescent="0.25">
      <c r="B61" s="5">
        <v>18600</v>
      </c>
      <c r="E61" t="s">
        <v>85</v>
      </c>
      <c r="F61">
        <f>SMALL(B53:B72,3)</f>
        <v>14800</v>
      </c>
      <c r="N61" t="s">
        <v>86</v>
      </c>
    </row>
    <row r="62" spans="2:14" x14ac:dyDescent="0.25">
      <c r="B62" s="5">
        <v>22000</v>
      </c>
      <c r="N62" t="s">
        <v>87</v>
      </c>
    </row>
    <row r="63" spans="2:14" x14ac:dyDescent="0.25">
      <c r="B63" s="8">
        <v>17400</v>
      </c>
      <c r="I63" s="16">
        <v>10</v>
      </c>
      <c r="K63" s="16">
        <v>10</v>
      </c>
      <c r="N63" t="s">
        <v>88</v>
      </c>
    </row>
    <row r="64" spans="2:14" x14ac:dyDescent="0.25">
      <c r="B64" s="8">
        <v>16500</v>
      </c>
      <c r="I64" s="16">
        <v>20</v>
      </c>
      <c r="K64" s="16">
        <v>20</v>
      </c>
    </row>
    <row r="65" spans="2:14" x14ac:dyDescent="0.25">
      <c r="B65" s="8">
        <v>18000</v>
      </c>
      <c r="I65" s="16">
        <v>30</v>
      </c>
      <c r="K65" s="16">
        <v>30</v>
      </c>
    </row>
    <row r="66" spans="2:14" x14ac:dyDescent="0.25">
      <c r="B66" s="8">
        <v>17500</v>
      </c>
      <c r="G66">
        <v>10</v>
      </c>
      <c r="I66" s="16" t="e">
        <f>G6:G66/0</f>
        <v>#DIV/0!</v>
      </c>
      <c r="K66" s="16" t="s">
        <v>89</v>
      </c>
      <c r="N66">
        <f>COUNTA(N60:N63)</f>
        <v>4</v>
      </c>
    </row>
    <row r="67" spans="2:14" x14ac:dyDescent="0.25">
      <c r="B67" s="8">
        <v>19600</v>
      </c>
      <c r="I67" s="16">
        <v>40</v>
      </c>
      <c r="K67" s="16">
        <v>40</v>
      </c>
    </row>
    <row r="68" spans="2:14" x14ac:dyDescent="0.25">
      <c r="B68" s="8">
        <v>13800</v>
      </c>
      <c r="I68" s="16">
        <v>30</v>
      </c>
      <c r="K68" s="16">
        <v>30</v>
      </c>
    </row>
    <row r="69" spans="2:14" x14ac:dyDescent="0.25">
      <c r="B69" s="8">
        <v>16500</v>
      </c>
    </row>
    <row r="70" spans="2:14" x14ac:dyDescent="0.25">
      <c r="B70" s="8">
        <v>14800</v>
      </c>
      <c r="I70" s="13">
        <f>COUNT(I63:I68)</f>
        <v>5</v>
      </c>
      <c r="K70">
        <f>COUNTA(K63:K68)</f>
        <v>6</v>
      </c>
    </row>
    <row r="71" spans="2:14" x14ac:dyDescent="0.25">
      <c r="B71" s="8">
        <v>18500</v>
      </c>
      <c r="I71">
        <f>COUNTBLANK(I63:I68)</f>
        <v>0</v>
      </c>
    </row>
    <row r="72" spans="2:14" x14ac:dyDescent="0.25">
      <c r="B72" s="8">
        <v>17400</v>
      </c>
      <c r="I72">
        <f>SUMIF(I63:I68,"&gt;0")</f>
        <v>130</v>
      </c>
    </row>
    <row r="74" spans="2:14" x14ac:dyDescent="0.25">
      <c r="B74">
        <f>MAX(B53:B72)</f>
        <v>25000</v>
      </c>
    </row>
    <row r="87" spans="1:9" ht="24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9" x14ac:dyDescent="0.25">
      <c r="A88" s="2" t="s">
        <v>6</v>
      </c>
      <c r="B88" s="3" t="s">
        <v>7</v>
      </c>
      <c r="C88" s="4" t="s">
        <v>8</v>
      </c>
      <c r="D88" s="4" t="s">
        <v>9</v>
      </c>
      <c r="E88" s="5">
        <v>16500</v>
      </c>
      <c r="F88" s="6" t="s">
        <v>10</v>
      </c>
    </row>
    <row r="89" spans="1:9" x14ac:dyDescent="0.25">
      <c r="A89" s="2" t="s">
        <v>11</v>
      </c>
      <c r="B89" s="3" t="s">
        <v>12</v>
      </c>
      <c r="C89" s="4" t="s">
        <v>13</v>
      </c>
      <c r="D89" s="4" t="s">
        <v>14</v>
      </c>
      <c r="E89" s="5">
        <v>17400</v>
      </c>
      <c r="F89" s="6" t="s">
        <v>15</v>
      </c>
      <c r="H89" s="7" t="s">
        <v>8</v>
      </c>
      <c r="I89">
        <f>SUMIFS(E88:E107,C88:C107,"Permanent",D88:D107,"Administration")</f>
        <v>34500</v>
      </c>
    </row>
    <row r="90" spans="1:9" x14ac:dyDescent="0.25">
      <c r="A90" s="2" t="s">
        <v>16</v>
      </c>
      <c r="B90" s="3" t="s">
        <v>17</v>
      </c>
      <c r="C90" s="4" t="s">
        <v>18</v>
      </c>
      <c r="D90" s="4" t="s">
        <v>19</v>
      </c>
      <c r="E90" s="5">
        <v>18500</v>
      </c>
      <c r="F90" s="6" t="s">
        <v>20</v>
      </c>
      <c r="H90" s="7" t="s">
        <v>9</v>
      </c>
    </row>
    <row r="91" spans="1:9" x14ac:dyDescent="0.25">
      <c r="A91" s="2" t="s">
        <v>21</v>
      </c>
      <c r="B91" s="3" t="s">
        <v>22</v>
      </c>
      <c r="C91" s="4" t="s">
        <v>13</v>
      </c>
      <c r="D91" s="4" t="s">
        <v>23</v>
      </c>
      <c r="E91" s="5">
        <v>13500</v>
      </c>
      <c r="F91" s="6" t="s">
        <v>24</v>
      </c>
      <c r="I91">
        <f>SUMIFS(E88:E107,C88:C107,H89,D88:D107,H90)</f>
        <v>34500</v>
      </c>
    </row>
    <row r="92" spans="1:9" x14ac:dyDescent="0.25">
      <c r="A92" s="2" t="s">
        <v>25</v>
      </c>
      <c r="B92" s="3" t="s">
        <v>26</v>
      </c>
      <c r="C92" s="4" t="s">
        <v>18</v>
      </c>
      <c r="D92" s="4" t="s">
        <v>27</v>
      </c>
      <c r="E92" s="5">
        <v>19000</v>
      </c>
      <c r="F92" s="6" t="s">
        <v>28</v>
      </c>
    </row>
    <row r="93" spans="1:9" x14ac:dyDescent="0.25">
      <c r="A93" s="2" t="s">
        <v>29</v>
      </c>
      <c r="B93" s="3" t="s">
        <v>30</v>
      </c>
      <c r="C93" s="4" t="s">
        <v>8</v>
      </c>
      <c r="D93" s="4" t="s">
        <v>31</v>
      </c>
      <c r="E93" s="5">
        <v>25000</v>
      </c>
      <c r="F93" s="6" t="s">
        <v>32</v>
      </c>
    </row>
    <row r="94" spans="1:9" x14ac:dyDescent="0.25">
      <c r="A94" s="2" t="s">
        <v>33</v>
      </c>
      <c r="B94" s="3" t="s">
        <v>34</v>
      </c>
      <c r="C94" s="4" t="s">
        <v>18</v>
      </c>
      <c r="D94" s="4" t="s">
        <v>35</v>
      </c>
      <c r="E94" s="5">
        <v>21000</v>
      </c>
      <c r="F94" s="6" t="s">
        <v>15</v>
      </c>
      <c r="H94" s="8" t="s">
        <v>13</v>
      </c>
      <c r="I94">
        <f>SUMIFS(E88:E107,C88:C107,H94,F88:F107,H95)</f>
        <v>34900</v>
      </c>
    </row>
    <row r="95" spans="1:9" x14ac:dyDescent="0.25">
      <c r="A95" s="2" t="s">
        <v>36</v>
      </c>
      <c r="B95" s="3" t="s">
        <v>37</v>
      </c>
      <c r="C95" s="4" t="s">
        <v>13</v>
      </c>
      <c r="D95" s="4" t="s">
        <v>9</v>
      </c>
      <c r="E95" s="5">
        <v>17500</v>
      </c>
      <c r="F95" s="6" t="s">
        <v>38</v>
      </c>
      <c r="H95" s="9" t="s">
        <v>45</v>
      </c>
    </row>
    <row r="96" spans="1:9" x14ac:dyDescent="0.25">
      <c r="A96" s="2" t="s">
        <v>39</v>
      </c>
      <c r="B96" s="3" t="s">
        <v>40</v>
      </c>
      <c r="C96" s="4" t="s">
        <v>8</v>
      </c>
      <c r="D96" s="4" t="s">
        <v>14</v>
      </c>
      <c r="E96" s="5">
        <v>18600</v>
      </c>
      <c r="F96" s="6" t="s">
        <v>41</v>
      </c>
    </row>
    <row r="97" spans="1:9" x14ac:dyDescent="0.25">
      <c r="A97" s="2" t="s">
        <v>43</v>
      </c>
      <c r="B97" s="3" t="s">
        <v>44</v>
      </c>
      <c r="C97" s="4" t="s">
        <v>8</v>
      </c>
      <c r="D97" s="4" t="s">
        <v>19</v>
      </c>
      <c r="E97" s="5">
        <v>22000</v>
      </c>
      <c r="F97" s="6" t="s">
        <v>45</v>
      </c>
      <c r="I97">
        <f>AVERAGEIFS(E88:E107,C88:C107,H94,F88:F107,H95)</f>
        <v>17450</v>
      </c>
    </row>
    <row r="98" spans="1:9" x14ac:dyDescent="0.25">
      <c r="A98" s="2" t="s">
        <v>46</v>
      </c>
      <c r="B98" s="8" t="s">
        <v>47</v>
      </c>
      <c r="C98" s="8" t="s">
        <v>13</v>
      </c>
      <c r="D98" s="8" t="s">
        <v>14</v>
      </c>
      <c r="E98" s="8">
        <v>17400</v>
      </c>
      <c r="F98" s="9" t="s">
        <v>45</v>
      </c>
    </row>
    <row r="99" spans="1:9" x14ac:dyDescent="0.25">
      <c r="A99" s="2" t="s">
        <v>48</v>
      </c>
      <c r="B99" s="8" t="s">
        <v>49</v>
      </c>
      <c r="C99" s="8" t="s">
        <v>8</v>
      </c>
      <c r="D99" s="8" t="s">
        <v>19</v>
      </c>
      <c r="E99" s="8">
        <v>16500</v>
      </c>
      <c r="F99" s="9" t="s">
        <v>38</v>
      </c>
    </row>
    <row r="100" spans="1:9" x14ac:dyDescent="0.25">
      <c r="A100" s="2" t="s">
        <v>51</v>
      </c>
      <c r="B100" s="8" t="s">
        <v>52</v>
      </c>
      <c r="C100" s="8" t="s">
        <v>8</v>
      </c>
      <c r="D100" s="8" t="s">
        <v>9</v>
      </c>
      <c r="E100" s="8">
        <v>18000</v>
      </c>
      <c r="F100" s="9" t="s">
        <v>32</v>
      </c>
      <c r="I100">
        <f>COUNTIFS(C88:C107,"Permanent",F88:F107,"Mumbai")</f>
        <v>2</v>
      </c>
    </row>
    <row r="101" spans="1:9" x14ac:dyDescent="0.25">
      <c r="A101" s="2" t="s">
        <v>53</v>
      </c>
      <c r="B101" s="8" t="s">
        <v>54</v>
      </c>
      <c r="C101" s="8" t="s">
        <v>13</v>
      </c>
      <c r="D101" s="8" t="s">
        <v>35</v>
      </c>
      <c r="E101" s="8">
        <v>17500</v>
      </c>
      <c r="F101" s="9" t="s">
        <v>45</v>
      </c>
    </row>
    <row r="102" spans="1:9" x14ac:dyDescent="0.25">
      <c r="A102" s="2" t="s">
        <v>55</v>
      </c>
      <c r="B102" s="8" t="s">
        <v>56</v>
      </c>
      <c r="C102" s="8" t="s">
        <v>13</v>
      </c>
      <c r="D102" s="8" t="s">
        <v>27</v>
      </c>
      <c r="E102" s="8">
        <v>19600</v>
      </c>
      <c r="F102" s="9" t="s">
        <v>24</v>
      </c>
    </row>
    <row r="103" spans="1:9" x14ac:dyDescent="0.25">
      <c r="A103" s="2" t="s">
        <v>57</v>
      </c>
      <c r="B103" s="8" t="s">
        <v>58</v>
      </c>
      <c r="C103" s="8" t="s">
        <v>8</v>
      </c>
      <c r="D103" s="8" t="s">
        <v>23</v>
      </c>
      <c r="E103" s="8">
        <v>13800</v>
      </c>
      <c r="F103" s="9" t="s">
        <v>20</v>
      </c>
    </row>
    <row r="104" spans="1:9" x14ac:dyDescent="0.25">
      <c r="A104" s="2" t="s">
        <v>59</v>
      </c>
      <c r="B104" s="8" t="s">
        <v>60</v>
      </c>
      <c r="C104" s="8" t="s">
        <v>18</v>
      </c>
      <c r="D104" s="8" t="s">
        <v>14</v>
      </c>
      <c r="E104" s="8">
        <v>16500</v>
      </c>
      <c r="F104" s="9" t="s">
        <v>15</v>
      </c>
    </row>
    <row r="105" spans="1:9" x14ac:dyDescent="0.25">
      <c r="A105" s="2" t="s">
        <v>61</v>
      </c>
      <c r="B105" s="8" t="s">
        <v>62</v>
      </c>
      <c r="C105" s="8" t="s">
        <v>8</v>
      </c>
      <c r="D105" s="8" t="s">
        <v>31</v>
      </c>
      <c r="E105" s="8">
        <v>14800</v>
      </c>
      <c r="F105" s="9" t="s">
        <v>10</v>
      </c>
    </row>
    <row r="106" spans="1:9" x14ac:dyDescent="0.25">
      <c r="A106" s="2" t="s">
        <v>64</v>
      </c>
      <c r="B106" s="8" t="s">
        <v>65</v>
      </c>
      <c r="C106" s="8" t="s">
        <v>13</v>
      </c>
      <c r="D106" s="8" t="s">
        <v>9</v>
      </c>
      <c r="E106" s="8">
        <v>18500</v>
      </c>
      <c r="F106" s="9" t="s">
        <v>20</v>
      </c>
    </row>
    <row r="107" spans="1:9" x14ac:dyDescent="0.25">
      <c r="A107" s="2" t="s">
        <v>66</v>
      </c>
      <c r="B107" s="8" t="s">
        <v>67</v>
      </c>
      <c r="C107" s="8" t="s">
        <v>18</v>
      </c>
      <c r="D107" s="8" t="s">
        <v>35</v>
      </c>
      <c r="E107" s="8">
        <v>17400</v>
      </c>
      <c r="F107" s="9" t="s">
        <v>24</v>
      </c>
    </row>
    <row r="114" spans="6:8" x14ac:dyDescent="0.25">
      <c r="F114">
        <v>10</v>
      </c>
      <c r="H114" t="s">
        <v>90</v>
      </c>
    </row>
    <row r="115" spans="6:8" x14ac:dyDescent="0.25">
      <c r="F115" t="s">
        <v>89</v>
      </c>
      <c r="H115" t="s">
        <v>91</v>
      </c>
    </row>
    <row r="116" spans="6:8" x14ac:dyDescent="0.25">
      <c r="F116">
        <v>30</v>
      </c>
      <c r="H116" t="s">
        <v>92</v>
      </c>
    </row>
    <row r="117" spans="6:8" x14ac:dyDescent="0.25">
      <c r="H117">
        <v>40</v>
      </c>
    </row>
    <row r="118" spans="6:8" x14ac:dyDescent="0.25">
      <c r="H118">
        <v>50</v>
      </c>
    </row>
    <row r="119" spans="6:8" x14ac:dyDescent="0.25">
      <c r="F119" s="13">
        <f>COUNT(F114:F118)</f>
        <v>2</v>
      </c>
      <c r="H119" s="13">
        <f>COUNTA(H114:H118)</f>
        <v>5</v>
      </c>
    </row>
    <row r="121" spans="6:8" x14ac:dyDescent="0.25">
      <c r="F121">
        <f>COUNTBLANK(F114:F118)</f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2024-01-30T15:29:22Z</dcterms:created>
  <dcterms:modified xsi:type="dcterms:W3CDTF">2024-01-30T15:29:39Z</dcterms:modified>
</cp:coreProperties>
</file>