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Dynamic arrays" sheetId="1" r:id="rId1"/>
    <sheet name="Filter" sheetId="2" r:id="rId2"/>
    <sheet name="Randarray" sheetId="3" r:id="rId3"/>
    <sheet name="Sequence" sheetId="4" r:id="rId4"/>
    <sheet name="Sort" sheetId="5" r:id="rId5"/>
    <sheet name="Sortyby" sheetId="6" r:id="rId6"/>
    <sheet name="Unique" sheetId="7" r:id="rId7"/>
    <sheet name="XLookup" sheetId="8" r:id="rId8"/>
    <sheet name="XMatch" sheetId="9" r:id="rId9"/>
    <sheet name="Sheet10" sheetId="10" r:id="rId10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9" l="1"/>
  <c r="M5" i="9" s="1" a="1"/>
  <c r="M5" i="9" s="1"/>
  <c r="I6" i="8"/>
  <c r="J6" i="8"/>
  <c r="L3" i="7" a="1"/>
  <c r="L3" i="7"/>
  <c r="J3" i="7" a="1"/>
  <c r="J3" i="7"/>
  <c r="H15" i="6" a="1"/>
  <c r="H15" i="6"/>
  <c r="H2" i="6" a="1"/>
  <c r="H2" i="6"/>
  <c r="H29" i="5" a="1"/>
  <c r="H29" i="5"/>
  <c r="A16" i="5" a="1"/>
  <c r="A16" i="5"/>
  <c r="G6" i="5" a="1"/>
  <c r="G6" i="5"/>
  <c r="A68" i="4" a="1"/>
  <c r="A68" i="4"/>
  <c r="G40" i="4" a="1"/>
  <c r="G40" i="4"/>
  <c r="D40" i="4" a="1"/>
  <c r="D40" i="4"/>
  <c r="A36" i="4" a="1"/>
  <c r="A36" i="4"/>
  <c r="G23" i="4" a="1"/>
  <c r="G23" i="4"/>
  <c r="G2" i="4" a="1"/>
  <c r="G2" i="4"/>
  <c r="D2" i="4" a="1"/>
  <c r="D2" i="4"/>
  <c r="C47" i="2" a="1"/>
  <c r="C47" i="2"/>
  <c r="H7" i="2" a="1"/>
  <c r="H7" i="2"/>
  <c r="C30" i="2" a="1"/>
  <c r="C30" i="2"/>
  <c r="A2" i="4" a="1"/>
  <c r="A2" i="4"/>
  <c r="L4" i="7"/>
  <c r="J7" i="7"/>
  <c r="J6" i="7"/>
  <c r="J5" i="7"/>
  <c r="J4" i="7"/>
  <c r="L24" i="6"/>
  <c r="K24" i="6"/>
  <c r="J24" i="6"/>
  <c r="I24" i="6"/>
  <c r="H24" i="6"/>
  <c r="L23" i="6"/>
  <c r="K23" i="6"/>
  <c r="J23" i="6"/>
  <c r="I23" i="6"/>
  <c r="H23" i="6"/>
  <c r="L22" i="6"/>
  <c r="K22" i="6"/>
  <c r="J22" i="6"/>
  <c r="I22" i="6"/>
  <c r="H22" i="6"/>
  <c r="L21" i="6"/>
  <c r="K21" i="6"/>
  <c r="J21" i="6"/>
  <c r="I21" i="6"/>
  <c r="H21" i="6"/>
  <c r="L20" i="6"/>
  <c r="K20" i="6"/>
  <c r="J20" i="6"/>
  <c r="I20" i="6"/>
  <c r="H20" i="6"/>
  <c r="L19" i="6"/>
  <c r="K19" i="6"/>
  <c r="J19" i="6"/>
  <c r="I19" i="6"/>
  <c r="H19" i="6"/>
  <c r="L18" i="6"/>
  <c r="K18" i="6"/>
  <c r="J18" i="6"/>
  <c r="I18" i="6"/>
  <c r="H18" i="6"/>
  <c r="L17" i="6"/>
  <c r="K17" i="6"/>
  <c r="J17" i="6"/>
  <c r="I17" i="6"/>
  <c r="H17" i="6"/>
  <c r="L16" i="6"/>
  <c r="K16" i="6"/>
  <c r="J16" i="6"/>
  <c r="I16" i="6"/>
  <c r="H16" i="6"/>
  <c r="L15" i="6"/>
  <c r="K15" i="6"/>
  <c r="J15" i="6"/>
  <c r="I15" i="6"/>
  <c r="L11" i="6"/>
  <c r="K11" i="6"/>
  <c r="J11" i="6"/>
  <c r="I11" i="6"/>
  <c r="H11" i="6"/>
  <c r="L10" i="6"/>
  <c r="K10" i="6"/>
  <c r="J10" i="6"/>
  <c r="I10" i="6"/>
  <c r="H10" i="6"/>
  <c r="L9" i="6"/>
  <c r="K9" i="6"/>
  <c r="J9" i="6"/>
  <c r="I9" i="6"/>
  <c r="H9" i="6"/>
  <c r="L8" i="6"/>
  <c r="K8" i="6"/>
  <c r="J8" i="6"/>
  <c r="I8" i="6"/>
  <c r="H8" i="6"/>
  <c r="L7" i="6"/>
  <c r="K7" i="6"/>
  <c r="J7" i="6"/>
  <c r="I7" i="6"/>
  <c r="H7" i="6"/>
  <c r="L6" i="6"/>
  <c r="K6" i="6"/>
  <c r="J6" i="6"/>
  <c r="I6" i="6"/>
  <c r="H6" i="6"/>
  <c r="L5" i="6"/>
  <c r="K5" i="6"/>
  <c r="J5" i="6"/>
  <c r="I5" i="6"/>
  <c r="H5" i="6"/>
  <c r="L4" i="6"/>
  <c r="K4" i="6"/>
  <c r="J4" i="6"/>
  <c r="I4" i="6"/>
  <c r="H4" i="6"/>
  <c r="L3" i="6"/>
  <c r="K3" i="6"/>
  <c r="J3" i="6"/>
  <c r="I3" i="6"/>
  <c r="H3" i="6"/>
  <c r="L2" i="6"/>
  <c r="K2" i="6"/>
  <c r="J2" i="6"/>
  <c r="I2" i="6"/>
  <c r="K31" i="5"/>
  <c r="J31" i="5"/>
  <c r="I31" i="5"/>
  <c r="H31" i="5"/>
  <c r="K30" i="5"/>
  <c r="J30" i="5"/>
  <c r="I30" i="5"/>
  <c r="H30" i="5"/>
  <c r="K29" i="5"/>
  <c r="J29" i="5"/>
  <c r="I29" i="5"/>
  <c r="E25" i="5"/>
  <c r="D25" i="5"/>
  <c r="C25" i="5"/>
  <c r="B25" i="5"/>
  <c r="A25" i="5"/>
  <c r="E24" i="5"/>
  <c r="D24" i="5"/>
  <c r="C24" i="5"/>
  <c r="B24" i="5"/>
  <c r="A24" i="5"/>
  <c r="E23" i="5"/>
  <c r="D23" i="5"/>
  <c r="C23" i="5"/>
  <c r="B23" i="5"/>
  <c r="A23" i="5"/>
  <c r="E22" i="5"/>
  <c r="D22" i="5"/>
  <c r="C22" i="5"/>
  <c r="B22" i="5"/>
  <c r="A22" i="5"/>
  <c r="E21" i="5"/>
  <c r="D21" i="5"/>
  <c r="C21" i="5"/>
  <c r="B21" i="5"/>
  <c r="A21" i="5"/>
  <c r="E20" i="5"/>
  <c r="D20" i="5"/>
  <c r="C20" i="5"/>
  <c r="B20" i="5"/>
  <c r="A20" i="5"/>
  <c r="E19" i="5"/>
  <c r="D19" i="5"/>
  <c r="C19" i="5"/>
  <c r="B19" i="5"/>
  <c r="A19" i="5"/>
  <c r="E18" i="5"/>
  <c r="D18" i="5"/>
  <c r="C18" i="5"/>
  <c r="B18" i="5"/>
  <c r="A18" i="5"/>
  <c r="E17" i="5"/>
  <c r="D17" i="5"/>
  <c r="C17" i="5"/>
  <c r="B17" i="5"/>
  <c r="A17" i="5"/>
  <c r="E16" i="5"/>
  <c r="D16" i="5"/>
  <c r="C16" i="5"/>
  <c r="B16" i="5"/>
  <c r="K15" i="5"/>
  <c r="J15" i="5"/>
  <c r="I15" i="5"/>
  <c r="H15" i="5"/>
  <c r="G15" i="5"/>
  <c r="K14" i="5"/>
  <c r="J14" i="5"/>
  <c r="I14" i="5"/>
  <c r="H14" i="5"/>
  <c r="G14" i="5"/>
  <c r="K13" i="5"/>
  <c r="J13" i="5"/>
  <c r="I13" i="5"/>
  <c r="H13" i="5"/>
  <c r="G13" i="5"/>
  <c r="K12" i="5"/>
  <c r="J12" i="5"/>
  <c r="I12" i="5"/>
  <c r="H12" i="5"/>
  <c r="G12" i="5"/>
  <c r="K11" i="5"/>
  <c r="J11" i="5"/>
  <c r="I11" i="5"/>
  <c r="H11" i="5"/>
  <c r="G11" i="5"/>
  <c r="K10" i="5"/>
  <c r="J10" i="5"/>
  <c r="I10" i="5"/>
  <c r="H10" i="5"/>
  <c r="G10" i="5"/>
  <c r="K9" i="5"/>
  <c r="J9" i="5"/>
  <c r="I9" i="5"/>
  <c r="H9" i="5"/>
  <c r="G9" i="5"/>
  <c r="K8" i="5"/>
  <c r="J8" i="5"/>
  <c r="I8" i="5"/>
  <c r="H8" i="5"/>
  <c r="G8" i="5"/>
  <c r="K7" i="5"/>
  <c r="J7" i="5"/>
  <c r="I7" i="5"/>
  <c r="H7" i="5"/>
  <c r="G7" i="5"/>
  <c r="K6" i="5"/>
  <c r="J6" i="5"/>
  <c r="I6" i="5"/>
  <c r="H6" i="5"/>
  <c r="A72" i="4"/>
  <c r="A71" i="4"/>
  <c r="A70" i="4"/>
  <c r="A69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A42" i="4"/>
  <c r="A41" i="4"/>
  <c r="A40" i="4"/>
  <c r="A39" i="4"/>
  <c r="A38" i="4"/>
  <c r="A37" i="4"/>
  <c r="G26" i="4"/>
  <c r="G25" i="4"/>
  <c r="G24" i="4"/>
  <c r="G11" i="4"/>
  <c r="G10" i="4"/>
  <c r="G9" i="4"/>
  <c r="G8" i="4"/>
  <c r="G7" i="4"/>
  <c r="G6" i="4"/>
  <c r="G5" i="4"/>
  <c r="G4" i="4"/>
  <c r="G3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A8" i="4"/>
  <c r="A7" i="4"/>
  <c r="A6" i="4"/>
  <c r="A5" i="4"/>
  <c r="A4" i="4"/>
  <c r="A3" i="4"/>
  <c r="E51" i="2"/>
  <c r="D51" i="2"/>
  <c r="C51" i="2"/>
  <c r="E50" i="2"/>
  <c r="D50" i="2"/>
  <c r="C50" i="2"/>
  <c r="E49" i="2"/>
  <c r="D49" i="2"/>
  <c r="C49" i="2"/>
  <c r="E48" i="2"/>
  <c r="D48" i="2"/>
  <c r="C48" i="2"/>
  <c r="E47" i="2"/>
  <c r="D47" i="2"/>
  <c r="E34" i="2"/>
  <c r="D34" i="2"/>
  <c r="C34" i="2"/>
  <c r="E33" i="2"/>
  <c r="D33" i="2"/>
  <c r="C33" i="2"/>
  <c r="E32" i="2"/>
  <c r="D32" i="2"/>
  <c r="C32" i="2"/>
  <c r="E31" i="2"/>
  <c r="D31" i="2"/>
  <c r="C31" i="2"/>
  <c r="E30" i="2"/>
  <c r="D30" i="2"/>
  <c r="L9" i="2"/>
  <c r="K9" i="2"/>
  <c r="J9" i="2"/>
  <c r="I9" i="2"/>
  <c r="H9" i="2"/>
  <c r="L8" i="2"/>
  <c r="K8" i="2"/>
  <c r="J8" i="2"/>
  <c r="I8" i="2"/>
  <c r="H8" i="2"/>
  <c r="L7" i="2"/>
  <c r="K7" i="2"/>
  <c r="J7" i="2"/>
  <c r="I7" i="2"/>
  <c r="C4" i="3" a="1"/>
  <c r="H6" i="3" a="1"/>
  <c r="C9" i="3" a="1"/>
  <c r="C31" i="3" a="1"/>
  <c r="C31" i="3" l="1"/>
  <c r="E33" i="3"/>
  <c r="E32" i="3"/>
  <c r="E31" i="3"/>
  <c r="D32" i="3"/>
  <c r="D33" i="3"/>
  <c r="D31" i="3"/>
  <c r="C33" i="3"/>
  <c r="C32" i="3"/>
  <c r="F33" i="3"/>
  <c r="F31" i="3"/>
  <c r="F32" i="3"/>
  <c r="C9" i="3"/>
  <c r="C16" i="3"/>
  <c r="C12" i="3"/>
  <c r="C15" i="3"/>
  <c r="C11" i="3"/>
  <c r="C18" i="3"/>
  <c r="C14" i="3"/>
  <c r="C10" i="3"/>
  <c r="C17" i="3"/>
  <c r="C13" i="3"/>
  <c r="H14" i="3"/>
  <c r="H10" i="3"/>
  <c r="H13" i="3"/>
  <c r="H9" i="3"/>
  <c r="H6" i="3"/>
  <c r="H12" i="3"/>
  <c r="H8" i="3"/>
  <c r="H15" i="3"/>
  <c r="H11" i="3"/>
  <c r="H7" i="3"/>
  <c r="F6" i="3"/>
  <c r="F5" i="3"/>
  <c r="F4" i="3"/>
  <c r="E6" i="3"/>
  <c r="E5" i="3"/>
  <c r="E4" i="3"/>
  <c r="C4" i="3"/>
  <c r="D6" i="3"/>
  <c r="D5" i="3"/>
  <c r="D4" i="3"/>
  <c r="C6" i="3"/>
  <c r="C5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<sst xmlns="http://schemas.openxmlformats.org/spreadsheetml/2006/main" count="382" uniqueCount="76">
  <si>
    <t>Dynamic arrays are new in Excel 365</t>
  </si>
  <si>
    <t xml:space="preserve">FILTER </t>
  </si>
  <si>
    <t xml:space="preserve"> Filter data and return matching records</t>
  </si>
  <si>
    <t>RANDARRAY</t>
  </si>
  <si>
    <t xml:space="preserve"> Generate array of random numbers</t>
  </si>
  <si>
    <t>SEQUENCE</t>
  </si>
  <si>
    <t xml:space="preserve"> Generate array of sequential numbers</t>
  </si>
  <si>
    <t>SORT</t>
  </si>
  <si>
    <t xml:space="preserve"> Sort range by column</t>
  </si>
  <si>
    <t xml:space="preserve">SORTBY </t>
  </si>
  <si>
    <t xml:space="preserve"> Sort range by another range or array</t>
  </si>
  <si>
    <t xml:space="preserve">UNIQUE </t>
  </si>
  <si>
    <t xml:space="preserve"> Extract unique values from a list or range</t>
  </si>
  <si>
    <t>XLOOKUP</t>
  </si>
  <si>
    <t xml:space="preserve"> Modern replacement for VLOOKUP</t>
  </si>
  <si>
    <t>XMATCH</t>
  </si>
  <si>
    <t xml:space="preserve"> Modern replacement for the MATCH function</t>
  </si>
  <si>
    <t>SL No</t>
  </si>
  <si>
    <t>Name</t>
  </si>
  <si>
    <t>Designation</t>
  </si>
  <si>
    <t>Salary</t>
  </si>
  <si>
    <t>City</t>
  </si>
  <si>
    <t>Anand</t>
  </si>
  <si>
    <t>Manager</t>
  </si>
  <si>
    <t>Shimoga</t>
  </si>
  <si>
    <t>Chandrashekar</t>
  </si>
  <si>
    <t>Clerk</t>
  </si>
  <si>
    <t>Mysore</t>
  </si>
  <si>
    <t>Kumar</t>
  </si>
  <si>
    <t>Sales executive</t>
  </si>
  <si>
    <t>Bangalore</t>
  </si>
  <si>
    <t>Hubli</t>
  </si>
  <si>
    <t>Lokesh</t>
  </si>
  <si>
    <t>Supervisor</t>
  </si>
  <si>
    <t>Maheshwar prasad</t>
  </si>
  <si>
    <t>Production Manager</t>
  </si>
  <si>
    <t>Dharwad</t>
  </si>
  <si>
    <t>Naveen</t>
  </si>
  <si>
    <t>Rajesh kumar</t>
  </si>
  <si>
    <t>Mangalore</t>
  </si>
  <si>
    <t>Ravikumar</t>
  </si>
  <si>
    <t>Sanjeev</t>
  </si>
  <si>
    <t>Trainer</t>
  </si>
  <si>
    <t>Satish chandra</t>
  </si>
  <si>
    <t>Madikeri</t>
  </si>
  <si>
    <t xml:space="preserve"> Random Number </t>
  </si>
  <si>
    <t xml:space="preserve"> =RANDARRAY(10) </t>
  </si>
  <si>
    <t xml:space="preserve"> Sequence </t>
  </si>
  <si>
    <t>Rajesh</t>
  </si>
  <si>
    <t>Vinay</t>
  </si>
  <si>
    <t>Praveen</t>
  </si>
  <si>
    <t>Kmar</t>
  </si>
  <si>
    <t>Names</t>
  </si>
  <si>
    <t>Kumr</t>
  </si>
  <si>
    <t>Ravi</t>
  </si>
  <si>
    <t>Manoj</t>
  </si>
  <si>
    <t>Lohith</t>
  </si>
  <si>
    <t>Mahesh</t>
  </si>
  <si>
    <t>Prasad</t>
  </si>
  <si>
    <t>Daya</t>
  </si>
  <si>
    <t>EMP Id</t>
  </si>
  <si>
    <t>KUmar</t>
  </si>
  <si>
    <t>Satish</t>
  </si>
  <si>
    <t>Ajay</t>
  </si>
  <si>
    <t>Mumbai</t>
  </si>
  <si>
    <t>Chennai</t>
  </si>
  <si>
    <t>Unique</t>
  </si>
  <si>
    <t>Exactly once</t>
  </si>
  <si>
    <t xml:space="preserve"> John   </t>
  </si>
  <si>
    <t xml:space="preserve"> Sarah  </t>
  </si>
  <si>
    <t xml:space="preserve"> Emily  </t>
  </si>
  <si>
    <t xml:space="preserve"> Michael</t>
  </si>
  <si>
    <t>Emp Id</t>
  </si>
  <si>
    <t>EmpId</t>
  </si>
  <si>
    <t>Match No</t>
  </si>
  <si>
    <t>City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</si>
</sst>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Bodoni MT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2" borderId="3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2" fillId="2" borderId="2" xfId="0" applyFont="1" applyFill="1" applyBorder="1"/>
    <xf numFmtId="0" fontId="3" fillId="0" borderId="1" xfId="0" applyFont="1" applyBorder="1"/>
    <xf numFmtId="0" fontId="2" fillId="2" borderId="1" xfId="0" applyFont="1" applyFill="1" applyBorder="1"/>
    <xf numFmtId="0" fontId="2" fillId="2" borderId="5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tabSelected="1" workbookViewId="0">
      <selection activeCell="B18" sqref="B18"/>
    </sheetView>
  </sheetViews>
  <sheetFormatPr defaultRowHeight="14.25"/>
  <cols>
    <col min="1" max="1" width="19.25" customWidth="1"/>
    <col min="2" max="2" width="40.375" bestFit="1" customWidth="1"/>
  </cols>
  <sheetData>
    <row r="2" spans="1:2" ht="15">
      <c r="A2" s="1" t="s">
        <v>0</v>
      </c>
    </row>
    <row r="4" spans="1:2" ht="15">
      <c r="A4" s="2" t="s">
        <v>1</v>
      </c>
      <c r="B4" s="3" t="s">
        <v>2</v>
      </c>
    </row>
    <row r="5" spans="1:2" ht="15">
      <c r="A5" s="2" t="s">
        <v>3</v>
      </c>
      <c r="B5" s="3" t="s">
        <v>4</v>
      </c>
    </row>
    <row r="6" spans="1:2" ht="15">
      <c r="A6" s="2" t="s">
        <v>5</v>
      </c>
      <c r="B6" s="3" t="s">
        <v>6</v>
      </c>
    </row>
    <row r="7" spans="1:2" ht="15">
      <c r="A7" s="2" t="s">
        <v>7</v>
      </c>
      <c r="B7" s="3" t="s">
        <v>8</v>
      </c>
    </row>
    <row r="8" spans="1:2" ht="15">
      <c r="A8" s="2" t="s">
        <v>9</v>
      </c>
      <c r="B8" s="3" t="s">
        <v>10</v>
      </c>
    </row>
    <row r="9" spans="1:2" ht="15">
      <c r="A9" s="2" t="s">
        <v>11</v>
      </c>
      <c r="B9" s="3" t="s">
        <v>12</v>
      </c>
    </row>
    <row r="10" spans="1:2" ht="15">
      <c r="A10" s="2" t="s">
        <v>13</v>
      </c>
      <c r="B10" s="3" t="s">
        <v>14</v>
      </c>
    </row>
    <row r="11" spans="1:2" ht="15">
      <c r="A11" s="2" t="s">
        <v>15</v>
      </c>
      <c r="B11" s="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selection sqref="A1:E11"/>
    </sheetView>
  </sheetViews>
  <sheetFormatPr defaultRowHeight="14.25"/>
  <cols>
    <col min="1" max="1" width="7.25" customWidth="1"/>
    <col min="2" max="2" width="19.375" customWidth="1"/>
    <col min="3" max="3" width="17.875" customWidth="1"/>
    <col min="4" max="4" width="12.25" customWidth="1"/>
    <col min="5" max="5" width="15.375" customWidth="1"/>
    <col min="9" max="9" width="11" customWidth="1"/>
    <col min="10" max="10" width="16" customWidth="1"/>
    <col min="12" max="12" width="13.875" customWidth="1"/>
  </cols>
  <sheetData>
    <row r="1" spans="1:12" ht="15">
      <c r="A1" s="7" t="s">
        <v>17</v>
      </c>
      <c r="B1" s="4" t="s">
        <v>18</v>
      </c>
      <c r="C1" s="4" t="s">
        <v>19</v>
      </c>
      <c r="D1" s="4" t="s">
        <v>20</v>
      </c>
      <c r="E1" s="4" t="s">
        <v>21</v>
      </c>
    </row>
    <row r="2" spans="1:12" ht="15">
      <c r="A2" s="5">
        <v>1</v>
      </c>
      <c r="B2" s="6" t="s">
        <v>22</v>
      </c>
      <c r="C2" s="6" t="s">
        <v>23</v>
      </c>
      <c r="D2" s="6">
        <v>25000</v>
      </c>
      <c r="E2" s="6" t="s">
        <v>24</v>
      </c>
      <c r="G2" s="1"/>
      <c r="H2" s="1"/>
    </row>
    <row r="3" spans="1:12" ht="15">
      <c r="A3" s="5">
        <v>2</v>
      </c>
      <c r="B3" s="6" t="s">
        <v>25</v>
      </c>
      <c r="C3" s="6" t="s">
        <v>26</v>
      </c>
      <c r="D3" s="6">
        <v>12200</v>
      </c>
      <c r="E3" s="6" t="s">
        <v>27</v>
      </c>
    </row>
    <row r="4" spans="1:12" ht="15">
      <c r="A4" s="5">
        <v>3</v>
      </c>
      <c r="B4" s="6" t="s">
        <v>28</v>
      </c>
      <c r="C4" s="6" t="s">
        <v>29</v>
      </c>
      <c r="D4" s="6">
        <v>17500</v>
      </c>
      <c r="E4" s="6" t="s">
        <v>30</v>
      </c>
      <c r="H4" s="3" t="s">
        <v>21</v>
      </c>
      <c r="I4" s="3" t="s">
        <v>31</v>
      </c>
    </row>
    <row r="5" spans="1:12" ht="15">
      <c r="A5" s="5">
        <v>4</v>
      </c>
      <c r="B5" s="6" t="s">
        <v>32</v>
      </c>
      <c r="C5" s="6" t="s">
        <v>33</v>
      </c>
      <c r="D5" s="6">
        <v>15200</v>
      </c>
      <c r="E5" s="6" t="s">
        <v>31</v>
      </c>
      <c r="G5" s="1"/>
      <c r="H5" s="1"/>
      <c r="I5" s="1"/>
    </row>
    <row r="6" spans="1:12" ht="15">
      <c r="A6" s="5">
        <v>5</v>
      </c>
      <c r="B6" s="6" t="s">
        <v>34</v>
      </c>
      <c r="C6" s="6" t="s">
        <v>35</v>
      </c>
      <c r="D6" s="6">
        <v>26000</v>
      </c>
      <c r="E6" s="6" t="s">
        <v>36</v>
      </c>
      <c r="H6" s="9" t="s">
        <v>17</v>
      </c>
      <c r="I6" s="9" t="s">
        <v>18</v>
      </c>
      <c r="J6" s="9" t="s">
        <v>19</v>
      </c>
      <c r="K6" s="9" t="s">
        <v>20</v>
      </c>
      <c r="L6" s="9" t="s">
        <v>21</v>
      </c>
    </row>
    <row r="7" spans="1:12" ht="15">
      <c r="A7" s="5">
        <v>6</v>
      </c>
      <c r="B7" s="6" t="s">
        <v>37</v>
      </c>
      <c r="C7" s="6" t="s">
        <v>23</v>
      </c>
      <c r="D7" s="6">
        <v>32500</v>
      </c>
      <c r="E7" s="6" t="s">
        <v>27</v>
      </c>
      <c r="H7" cm="1">
        <f t="array" ref="H7:L9">_xlfn._xlws.FILTER(A2:E11,E2:E11=I4,"No Results")</f>
        <v>4</v>
      </c>
      <c r="I7" t="str">
        <v>Lokesh</v>
      </c>
      <c r="J7" t="str">
        <v>Supervisor</v>
      </c>
      <c r="K7">
        <v>15200</v>
      </c>
      <c r="L7" t="str">
        <v>Hubli</v>
      </c>
    </row>
    <row r="8" spans="1:12" ht="15">
      <c r="A8" s="5">
        <v>7</v>
      </c>
      <c r="B8" s="6" t="s">
        <v>38</v>
      </c>
      <c r="C8" s="6" t="s">
        <v>26</v>
      </c>
      <c r="D8" s="6">
        <v>16400</v>
      </c>
      <c r="E8" s="6" t="s">
        <v>39</v>
      </c>
      <c r="H8">
        <v>8</v>
      </c>
      <c r="I8" t="str">
        <v>Ravikumar</v>
      </c>
      <c r="J8" t="str">
        <v>Sales executive</v>
      </c>
      <c r="K8">
        <v>25000</v>
      </c>
      <c r="L8" t="str">
        <v>Hubli</v>
      </c>
    </row>
    <row r="9" spans="1:12" ht="15">
      <c r="A9" s="5">
        <v>8</v>
      </c>
      <c r="B9" s="6" t="s">
        <v>40</v>
      </c>
      <c r="C9" s="6" t="s">
        <v>29</v>
      </c>
      <c r="D9" s="6">
        <v>25000</v>
      </c>
      <c r="E9" s="6" t="s">
        <v>31</v>
      </c>
      <c r="H9">
        <v>9</v>
      </c>
      <c r="I9" t="str">
        <v>Sanjeev</v>
      </c>
      <c r="J9" t="str">
        <v>Trainer</v>
      </c>
      <c r="K9">
        <v>13500</v>
      </c>
      <c r="L9" t="str">
        <v>Hubli</v>
      </c>
    </row>
    <row r="10" spans="1:12" ht="15">
      <c r="A10" s="5">
        <v>9</v>
      </c>
      <c r="B10" s="6" t="s">
        <v>41</v>
      </c>
      <c r="C10" s="6" t="s">
        <v>42</v>
      </c>
      <c r="D10" s="6">
        <v>13500</v>
      </c>
      <c r="E10" s="6" t="s">
        <v>31</v>
      </c>
    </row>
    <row r="11" spans="1:12" ht="15">
      <c r="A11" s="5">
        <v>10</v>
      </c>
      <c r="B11" s="6" t="s">
        <v>43</v>
      </c>
      <c r="C11" s="6" t="s">
        <v>42</v>
      </c>
      <c r="D11" s="6">
        <v>18250</v>
      </c>
      <c r="E11" s="6" t="s">
        <v>44</v>
      </c>
    </row>
    <row r="21" spans="2:12" ht="15">
      <c r="B21" s="9" t="s">
        <v>17</v>
      </c>
      <c r="C21" s="8">
        <v>1</v>
      </c>
      <c r="D21" s="8">
        <v>2</v>
      </c>
      <c r="E21" s="8">
        <v>3</v>
      </c>
      <c r="F21" s="8">
        <v>4</v>
      </c>
      <c r="G21" s="8">
        <v>5</v>
      </c>
      <c r="H21" s="8">
        <v>6</v>
      </c>
      <c r="I21" s="8">
        <v>7</v>
      </c>
      <c r="J21" s="8">
        <v>8</v>
      </c>
      <c r="K21" s="8">
        <v>9</v>
      </c>
      <c r="L21" s="8">
        <v>10</v>
      </c>
    </row>
    <row r="22" spans="2:12" ht="15">
      <c r="B22" s="10" t="s">
        <v>18</v>
      </c>
      <c r="C22" s="6" t="s">
        <v>22</v>
      </c>
      <c r="D22" s="6" t="s">
        <v>25</v>
      </c>
      <c r="E22" s="6" t="s">
        <v>28</v>
      </c>
      <c r="F22" s="6" t="s">
        <v>32</v>
      </c>
      <c r="G22" s="6" t="s">
        <v>34</v>
      </c>
      <c r="H22" s="6" t="s">
        <v>37</v>
      </c>
      <c r="I22" s="6" t="s">
        <v>38</v>
      </c>
      <c r="J22" s="6" t="s">
        <v>40</v>
      </c>
      <c r="K22" s="6" t="s">
        <v>41</v>
      </c>
      <c r="L22" s="6" t="s">
        <v>43</v>
      </c>
    </row>
    <row r="23" spans="2:12" ht="15">
      <c r="B23" s="4" t="s">
        <v>19</v>
      </c>
      <c r="C23" s="6" t="s">
        <v>23</v>
      </c>
      <c r="D23" s="6" t="s">
        <v>26</v>
      </c>
      <c r="E23" s="6" t="s">
        <v>29</v>
      </c>
      <c r="F23" s="6" t="s">
        <v>33</v>
      </c>
      <c r="G23" s="6" t="s">
        <v>35</v>
      </c>
      <c r="H23" s="6" t="s">
        <v>23</v>
      </c>
      <c r="I23" s="6" t="s">
        <v>26</v>
      </c>
      <c r="J23" s="6" t="s">
        <v>29</v>
      </c>
      <c r="K23" s="6" t="s">
        <v>42</v>
      </c>
      <c r="L23" s="6" t="s">
        <v>42</v>
      </c>
    </row>
    <row r="24" spans="2:12" ht="15">
      <c r="B24" s="4" t="s">
        <v>20</v>
      </c>
      <c r="C24" s="6">
        <v>25000</v>
      </c>
      <c r="D24" s="6">
        <v>12200</v>
      </c>
      <c r="E24" s="6">
        <v>17500</v>
      </c>
      <c r="F24" s="6">
        <v>15200</v>
      </c>
      <c r="G24" s="6">
        <v>26000</v>
      </c>
      <c r="H24" s="6">
        <v>32500</v>
      </c>
      <c r="I24" s="6">
        <v>16400</v>
      </c>
      <c r="J24" s="6">
        <v>25000</v>
      </c>
      <c r="K24" s="6">
        <v>13500</v>
      </c>
      <c r="L24" s="6">
        <v>18250</v>
      </c>
    </row>
    <row r="25" spans="2:12" ht="15">
      <c r="B25" s="4" t="s">
        <v>21</v>
      </c>
      <c r="C25" s="6" t="s">
        <v>24</v>
      </c>
      <c r="D25" s="6" t="s">
        <v>27</v>
      </c>
      <c r="E25" s="6" t="s">
        <v>30</v>
      </c>
      <c r="F25" s="6" t="s">
        <v>31</v>
      </c>
      <c r="G25" s="6" t="s">
        <v>36</v>
      </c>
      <c r="H25" s="6" t="s">
        <v>27</v>
      </c>
      <c r="I25" s="6" t="s">
        <v>39</v>
      </c>
      <c r="J25" s="6" t="s">
        <v>31</v>
      </c>
      <c r="K25" s="6" t="s">
        <v>31</v>
      </c>
      <c r="L25" s="6" t="s">
        <v>44</v>
      </c>
    </row>
    <row r="28" spans="2:12">
      <c r="B28" t="s">
        <v>21</v>
      </c>
      <c r="C28" t="s">
        <v>31</v>
      </c>
    </row>
    <row r="30" spans="2:12" ht="15">
      <c r="B30" s="9" t="s">
        <v>17</v>
      </c>
      <c r="C30" cm="1">
        <f t="array" ref="C30:E34">_xlfn._xlws.FILTER(C21:L25,C25:L25=C28,"No Results")</f>
        <v>4</v>
      </c>
      <c r="D30">
        <v>8</v>
      </c>
      <c r="E30">
        <v>9</v>
      </c>
    </row>
    <row r="31" spans="2:12" ht="15">
      <c r="B31" s="10" t="s">
        <v>18</v>
      </c>
      <c r="C31" t="str">
        <v>Lokesh</v>
      </c>
      <c r="D31" t="str">
        <v>Ravikumar</v>
      </c>
      <c r="E31" t="str">
        <v>Sanjeev</v>
      </c>
    </row>
    <row r="32" spans="2:12" ht="15">
      <c r="B32" s="4" t="s">
        <v>19</v>
      </c>
      <c r="C32" t="str">
        <v>Supervisor</v>
      </c>
      <c r="D32" t="str">
        <v>Sales executive</v>
      </c>
      <c r="E32" t="str">
        <v>Trainer</v>
      </c>
    </row>
    <row r="33" spans="2:12" ht="15">
      <c r="B33" s="4" t="s">
        <v>20</v>
      </c>
      <c r="C33">
        <v>15200</v>
      </c>
      <c r="D33">
        <v>25000</v>
      </c>
      <c r="E33">
        <v>13500</v>
      </c>
    </row>
    <row r="34" spans="2:12" ht="15">
      <c r="B34" s="4" t="s">
        <v>21</v>
      </c>
      <c r="C34" t="str">
        <v>Hubli</v>
      </c>
      <c r="D34" t="str">
        <v>Hubli</v>
      </c>
      <c r="E34" t="str">
        <v>Hubli</v>
      </c>
    </row>
    <row r="38" spans="2:12" ht="15">
      <c r="B38" s="9" t="s">
        <v>17</v>
      </c>
      <c r="C38" s="8">
        <v>1</v>
      </c>
      <c r="D38" s="8">
        <v>2</v>
      </c>
      <c r="E38" s="8">
        <v>3</v>
      </c>
      <c r="F38" s="8">
        <v>4</v>
      </c>
      <c r="G38" s="8">
        <v>5</v>
      </c>
      <c r="H38" s="8">
        <v>6</v>
      </c>
      <c r="I38" s="8">
        <v>7</v>
      </c>
      <c r="J38" s="8">
        <v>8</v>
      </c>
      <c r="K38" s="8">
        <v>9</v>
      </c>
      <c r="L38" s="8">
        <v>10</v>
      </c>
    </row>
    <row r="39" spans="2:12" ht="15">
      <c r="B39" s="9" t="s">
        <v>18</v>
      </c>
      <c r="C39" s="8" t="s">
        <v>22</v>
      </c>
      <c r="D39" s="8" t="s">
        <v>25</v>
      </c>
      <c r="E39" s="8" t="s">
        <v>28</v>
      </c>
      <c r="F39" s="8" t="s">
        <v>32</v>
      </c>
      <c r="G39" s="8" t="s">
        <v>34</v>
      </c>
      <c r="H39" s="8" t="s">
        <v>37</v>
      </c>
      <c r="I39" s="8" t="s">
        <v>38</v>
      </c>
      <c r="J39" s="8" t="s">
        <v>40</v>
      </c>
      <c r="K39" s="8" t="s">
        <v>41</v>
      </c>
      <c r="L39" s="8" t="s">
        <v>43</v>
      </c>
    </row>
    <row r="40" spans="2:12" ht="15">
      <c r="B40" s="9" t="s">
        <v>19</v>
      </c>
      <c r="C40" s="8" t="s">
        <v>23</v>
      </c>
      <c r="D40" s="8" t="s">
        <v>26</v>
      </c>
      <c r="E40" s="8" t="s">
        <v>29</v>
      </c>
      <c r="F40" s="8" t="s">
        <v>33</v>
      </c>
      <c r="G40" s="8" t="s">
        <v>35</v>
      </c>
      <c r="H40" s="8" t="s">
        <v>23</v>
      </c>
      <c r="I40" s="8" t="s">
        <v>26</v>
      </c>
      <c r="J40" s="8" t="s">
        <v>29</v>
      </c>
      <c r="K40" s="8" t="s">
        <v>42</v>
      </c>
      <c r="L40" s="8" t="s">
        <v>42</v>
      </c>
    </row>
    <row r="41" spans="2:12" ht="15">
      <c r="B41" s="9" t="s">
        <v>20</v>
      </c>
      <c r="C41" s="8">
        <v>25000</v>
      </c>
      <c r="D41" s="8">
        <v>12200</v>
      </c>
      <c r="E41" s="8">
        <v>17500</v>
      </c>
      <c r="F41" s="8">
        <v>15200</v>
      </c>
      <c r="G41" s="8">
        <v>26000</v>
      </c>
      <c r="H41" s="8">
        <v>32500</v>
      </c>
      <c r="I41" s="8">
        <v>16400</v>
      </c>
      <c r="J41" s="8">
        <v>25000</v>
      </c>
      <c r="K41" s="8">
        <v>13500</v>
      </c>
      <c r="L41" s="8">
        <v>18250</v>
      </c>
    </row>
    <row r="42" spans="2:12" ht="15">
      <c r="B42" s="9" t="s">
        <v>21</v>
      </c>
      <c r="C42" s="8" t="s">
        <v>24</v>
      </c>
      <c r="D42" s="8" t="s">
        <v>27</v>
      </c>
      <c r="E42" s="8" t="s">
        <v>30</v>
      </c>
      <c r="F42" s="8" t="s">
        <v>31</v>
      </c>
      <c r="G42" s="8" t="s">
        <v>36</v>
      </c>
      <c r="H42" s="8" t="s">
        <v>27</v>
      </c>
      <c r="I42" s="8" t="s">
        <v>39</v>
      </c>
      <c r="J42" s="8" t="s">
        <v>31</v>
      </c>
      <c r="K42" s="8" t="s">
        <v>31</v>
      </c>
      <c r="L42" s="8" t="s">
        <v>44</v>
      </c>
    </row>
    <row r="45" spans="2:12">
      <c r="B45" s="3" t="s">
        <v>21</v>
      </c>
      <c r="C45" s="3" t="s">
        <v>31</v>
      </c>
    </row>
    <row r="47" spans="2:12" ht="15">
      <c r="B47" s="9" t="s">
        <v>17</v>
      </c>
      <c r="C47" cm="1">
        <f t="array" ref="C47:E51">_xlfn._xlws.FILTER(C38:L42,C42:L42=C45,"No Results")</f>
        <v>4</v>
      </c>
      <c r="D47">
        <v>8</v>
      </c>
      <c r="E47">
        <v>9</v>
      </c>
    </row>
    <row r="48" spans="2:12" ht="15">
      <c r="B48" s="9" t="s">
        <v>18</v>
      </c>
      <c r="C48" t="str">
        <v>Lokesh</v>
      </c>
      <c r="D48" t="str">
        <v>Ravikumar</v>
      </c>
      <c r="E48" t="str">
        <v>Sanjeev</v>
      </c>
    </row>
    <row r="49" spans="2:5" ht="15">
      <c r="B49" s="9" t="s">
        <v>19</v>
      </c>
      <c r="C49" t="str">
        <v>Supervisor</v>
      </c>
      <c r="D49" t="str">
        <v>Sales executive</v>
      </c>
      <c r="E49" t="str">
        <v>Trainer</v>
      </c>
    </row>
    <row r="50" spans="2:5" ht="15">
      <c r="B50" s="9" t="s">
        <v>20</v>
      </c>
      <c r="C50">
        <v>15200</v>
      </c>
      <c r="D50">
        <v>25000</v>
      </c>
      <c r="E50">
        <v>13500</v>
      </c>
    </row>
    <row r="51" spans="2:5" ht="15">
      <c r="B51" s="9" t="s">
        <v>21</v>
      </c>
      <c r="C51" t="str">
        <v>Hubli</v>
      </c>
      <c r="D51" t="str">
        <v>Hubli</v>
      </c>
      <c r="E51" t="str">
        <v>Hubli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activeCell="C36" sqref="C36"/>
    </sheetView>
  </sheetViews>
  <sheetFormatPr defaultRowHeight="14.25"/>
  <cols>
    <col min="1" max="1" width="25.125" customWidth="1"/>
    <col min="3" max="3" width="24.125" customWidth="1"/>
    <col min="8" max="8" width="22" customWidth="1"/>
  </cols>
  <sheetData>
    <row r="1" spans="1:8">
      <c r="A1" t="s">
        <v>45</v>
      </c>
    </row>
    <row r="2" spans="1:8">
      <c r="A2" t="s">
        <v>46</v>
      </c>
    </row>
    <row r="4" spans="1:8">
      <c r="C4" t="e" cm="1">
        <f t="array" aca="1" ref="C4:F6" ca="1">_xlfn.RANDARRAY(3,4,10,100,TRUE)</f>
        <v>#NAME?</v>
      </c>
      <c r="D4" t="e">
        <f ca="1"/>
        <v>#NAME?</v>
      </c>
      <c r="E4" t="e">
        <f ca="1"/>
        <v>#NAME?</v>
      </c>
      <c r="F4" t="e">
        <f ca="1"/>
        <v>#NAME?</v>
      </c>
    </row>
    <row r="5" spans="1:8">
      <c r="C5" t="e">
        <f ca="1"/>
        <v>#NAME?</v>
      </c>
      <c r="D5" t="e">
        <f ca="1"/>
        <v>#NAME?</v>
      </c>
      <c r="E5" t="e">
        <f ca="1"/>
        <v>#NAME?</v>
      </c>
      <c r="F5" t="e">
        <f ca="1"/>
        <v>#NAME?</v>
      </c>
    </row>
    <row r="6" spans="1:8">
      <c r="C6" t="e">
        <f ca="1"/>
        <v>#NAME?</v>
      </c>
      <c r="D6" t="e">
        <f ca="1"/>
        <v>#NAME?</v>
      </c>
      <c r="E6" t="e">
        <f ca="1"/>
        <v>#NAME?</v>
      </c>
      <c r="F6" t="e">
        <f ca="1"/>
        <v>#NAME?</v>
      </c>
      <c r="H6" t="e" cm="1">
        <f t="array" aca="1" ref="H6:H15" ca="1">_xlfn.RANDARRAY(10)</f>
        <v>#NAME?</v>
      </c>
    </row>
    <row r="7" spans="1:8">
      <c r="H7" t="e">
        <f ca="1"/>
        <v>#NAME?</v>
      </c>
    </row>
    <row r="8" spans="1:8">
      <c r="H8" t="e">
        <f ca="1"/>
        <v>#NAME?</v>
      </c>
    </row>
    <row r="9" spans="1:8">
      <c r="C9" t="e" cm="1">
        <f t="array" aca="1" ref="C9:C18" ca="1">_xlfn.RANDARRAY(10)</f>
        <v>#NAME?</v>
      </c>
      <c r="H9" t="e">
        <f ca="1"/>
        <v>#NAME?</v>
      </c>
    </row>
    <row r="10" spans="1:8">
      <c r="C10" t="e">
        <f ca="1"/>
        <v>#NAME?</v>
      </c>
      <c r="H10" t="e">
        <f ca="1"/>
        <v>#NAME?</v>
      </c>
    </row>
    <row r="11" spans="1:8">
      <c r="C11" t="e">
        <f ca="1"/>
        <v>#NAME?</v>
      </c>
      <c r="H11" t="e">
        <f ca="1"/>
        <v>#NAME?</v>
      </c>
    </row>
    <row r="12" spans="1:8">
      <c r="C12" t="e">
        <f ca="1"/>
        <v>#NAME?</v>
      </c>
      <c r="H12" t="e">
        <f ca="1"/>
        <v>#NAME?</v>
      </c>
    </row>
    <row r="13" spans="1:8">
      <c r="C13" t="e">
        <f ca="1"/>
        <v>#NAME?</v>
      </c>
      <c r="H13" t="e">
        <f ca="1"/>
        <v>#NAME?</v>
      </c>
    </row>
    <row r="14" spans="1:8">
      <c r="C14" t="e">
        <f ca="1"/>
        <v>#NAME?</v>
      </c>
      <c r="H14" t="e">
        <f ca="1"/>
        <v>#NAME?</v>
      </c>
    </row>
    <row r="15" spans="1:8">
      <c r="C15" t="e">
        <f ca="1"/>
        <v>#NAME?</v>
      </c>
      <c r="H15" t="e">
        <f ca="1"/>
        <v>#NAME?</v>
      </c>
    </row>
    <row r="16" spans="1:8">
      <c r="C16" t="e">
        <f ca="1"/>
        <v>#NAME?</v>
      </c>
    </row>
    <row r="17" spans="3:6">
      <c r="C17" t="e">
        <f ca="1"/>
        <v>#NAME?</v>
      </c>
    </row>
    <row r="18" spans="3:6">
      <c r="C18" t="e">
        <f ca="1"/>
        <v>#NAME?</v>
      </c>
    </row>
    <row r="31" spans="3:6">
      <c r="C31" t="e" cm="1">
        <f t="array" aca="1" ref="C31:F33" ca="1">_xlfn.RANDARRAY(3,4,10,50,TRUE)</f>
        <v>#NAME?</v>
      </c>
      <c r="D31" t="e">
        <f ca="1"/>
        <v>#NAME?</v>
      </c>
      <c r="E31" t="e">
        <f ca="1"/>
        <v>#NAME?</v>
      </c>
      <c r="F31" t="e">
        <f ca="1"/>
        <v>#NAME?</v>
      </c>
    </row>
    <row r="32" spans="3:6">
      <c r="C32" t="e">
        <f ca="1"/>
        <v>#NAME?</v>
      </c>
      <c r="D32" t="e">
        <f ca="1"/>
        <v>#NAME?</v>
      </c>
      <c r="E32" t="e">
        <f ca="1"/>
        <v>#NAME?</v>
      </c>
      <c r="F32" t="e">
        <f ca="1"/>
        <v>#NAME?</v>
      </c>
    </row>
    <row r="33" spans="3:6">
      <c r="C33" t="e">
        <f ca="1"/>
        <v>#NAME?</v>
      </c>
      <c r="D33" t="e">
        <f ca="1"/>
        <v>#NAME?</v>
      </c>
      <c r="E33" t="e">
        <f ca="1"/>
        <v>#NAME?</v>
      </c>
      <c r="F33" t="e">
        <f ca="1"/>
        <v>#NAME?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topLeftCell="A31" workbookViewId="0">
      <selection activeCell="F62" sqref="F62"/>
    </sheetView>
  </sheetViews>
  <sheetFormatPr defaultRowHeight="14.25"/>
  <cols>
    <col min="1" max="1" width="19" customWidth="1"/>
    <col min="2" max="2" width="26.625" customWidth="1"/>
    <col min="7" max="7" width="22.625" customWidth="1"/>
    <col min="8" max="8" width="15.875" customWidth="1"/>
  </cols>
  <sheetData>
    <row r="1" spans="1:7">
      <c r="A1" t="s">
        <v>47</v>
      </c>
    </row>
    <row r="2" spans="1:7">
      <c r="A2" cm="1">
        <f t="array" ref="A2:A8">_xlfn.SEQUENCE(COUNTA(B2:B19))</f>
        <v>1</v>
      </c>
      <c r="B2" t="s">
        <v>28</v>
      </c>
      <c r="D2" cm="1">
        <f t="array" ref="D2:D21">_xlfn.SEQUENCE(20,1,1)</f>
        <v>1</v>
      </c>
      <c r="G2" cm="1">
        <f t="array" ref="G2:G11">_xlfn.SEQUENCE(10)</f>
        <v>1</v>
      </c>
    </row>
    <row r="3" spans="1:7">
      <c r="A3">
        <v>2</v>
      </c>
      <c r="B3" t="s">
        <v>37</v>
      </c>
      <c r="D3">
        <v>2</v>
      </c>
      <c r="G3">
        <v>2</v>
      </c>
    </row>
    <row r="4" spans="1:7">
      <c r="A4">
        <v>3</v>
      </c>
      <c r="B4" t="s">
        <v>48</v>
      </c>
      <c r="D4">
        <v>3</v>
      </c>
      <c r="G4">
        <v>3</v>
      </c>
    </row>
    <row r="5" spans="1:7">
      <c r="A5">
        <v>4</v>
      </c>
      <c r="B5" t="s">
        <v>49</v>
      </c>
      <c r="D5">
        <v>4</v>
      </c>
      <c r="G5">
        <v>4</v>
      </c>
    </row>
    <row r="6" spans="1:7">
      <c r="A6">
        <v>5</v>
      </c>
      <c r="B6" t="s">
        <v>32</v>
      </c>
      <c r="D6">
        <v>5</v>
      </c>
      <c r="G6">
        <v>5</v>
      </c>
    </row>
    <row r="7" spans="1:7">
      <c r="A7">
        <v>6</v>
      </c>
      <c r="B7" t="s">
        <v>50</v>
      </c>
      <c r="D7">
        <v>6</v>
      </c>
      <c r="G7">
        <v>6</v>
      </c>
    </row>
    <row r="8" spans="1:7">
      <c r="A8">
        <v>7</v>
      </c>
      <c r="B8" t="s">
        <v>51</v>
      </c>
      <c r="D8">
        <v>7</v>
      </c>
      <c r="G8">
        <v>7</v>
      </c>
    </row>
    <row r="9" spans="1:7">
      <c r="D9">
        <v>8</v>
      </c>
      <c r="G9">
        <v>8</v>
      </c>
    </row>
    <row r="10" spans="1:7">
      <c r="D10">
        <v>9</v>
      </c>
      <c r="G10">
        <v>9</v>
      </c>
    </row>
    <row r="11" spans="1:7">
      <c r="D11">
        <v>10</v>
      </c>
      <c r="G11">
        <v>10</v>
      </c>
    </row>
    <row r="12" spans="1:7">
      <c r="D12">
        <v>11</v>
      </c>
    </row>
    <row r="13" spans="1:7">
      <c r="D13">
        <v>12</v>
      </c>
    </row>
    <row r="14" spans="1:7">
      <c r="D14">
        <v>13</v>
      </c>
    </row>
    <row r="15" spans="1:7">
      <c r="D15">
        <v>14</v>
      </c>
    </row>
    <row r="16" spans="1:7">
      <c r="D16">
        <v>15</v>
      </c>
    </row>
    <row r="17" spans="2:8">
      <c r="D17">
        <v>16</v>
      </c>
    </row>
    <row r="18" spans="2:8">
      <c r="D18">
        <v>17</v>
      </c>
    </row>
    <row r="19" spans="2:8">
      <c r="D19">
        <v>18</v>
      </c>
    </row>
    <row r="20" spans="2:8">
      <c r="D20">
        <v>19</v>
      </c>
    </row>
    <row r="21" spans="2:8">
      <c r="D21">
        <v>20</v>
      </c>
    </row>
    <row r="22" spans="2:8">
      <c r="G22" t="s">
        <v>17</v>
      </c>
      <c r="H22" t="s">
        <v>52</v>
      </c>
    </row>
    <row r="23" spans="2:8">
      <c r="B23" t="s">
        <v>28</v>
      </c>
      <c r="G23" cm="1">
        <f t="array" ref="G23:G26">_xlfn.SEQUENCE(COUNTA(H23:H49),1,1)</f>
        <v>1</v>
      </c>
      <c r="H23" t="s">
        <v>53</v>
      </c>
    </row>
    <row r="24" spans="2:8">
      <c r="B24" t="s">
        <v>37</v>
      </c>
      <c r="G24">
        <v>2</v>
      </c>
      <c r="H24" t="s">
        <v>52</v>
      </c>
    </row>
    <row r="25" spans="2:8">
      <c r="B25" t="s">
        <v>48</v>
      </c>
      <c r="G25">
        <v>3</v>
      </c>
      <c r="H25" t="s">
        <v>54</v>
      </c>
    </row>
    <row r="26" spans="2:8">
      <c r="B26" t="s">
        <v>49</v>
      </c>
      <c r="G26">
        <v>4</v>
      </c>
      <c r="H26" t="s">
        <v>32</v>
      </c>
    </row>
    <row r="27" spans="2:8">
      <c r="B27" t="s">
        <v>32</v>
      </c>
    </row>
    <row r="28" spans="2:8">
      <c r="B28" t="s">
        <v>50</v>
      </c>
    </row>
    <row r="29" spans="2:8">
      <c r="B29" t="s">
        <v>51</v>
      </c>
    </row>
    <row r="35" spans="1:7">
      <c r="A35" t="s">
        <v>17</v>
      </c>
      <c r="B35" t="s">
        <v>18</v>
      </c>
    </row>
    <row r="36" spans="1:7">
      <c r="A36" cm="1">
        <f t="array" ref="A36:A42">_xlfn.SEQUENCE(COUNTA(B36:B60),1,1)</f>
        <v>1</v>
      </c>
      <c r="B36" t="s">
        <v>32</v>
      </c>
    </row>
    <row r="37" spans="1:7">
      <c r="A37">
        <v>2</v>
      </c>
      <c r="B37" t="s">
        <v>28</v>
      </c>
    </row>
    <row r="38" spans="1:7">
      <c r="A38">
        <v>3</v>
      </c>
      <c r="B38" t="s">
        <v>50</v>
      </c>
    </row>
    <row r="39" spans="1:7">
      <c r="A39">
        <v>4</v>
      </c>
      <c r="B39" t="s">
        <v>55</v>
      </c>
    </row>
    <row r="40" spans="1:7">
      <c r="A40">
        <v>5</v>
      </c>
      <c r="B40" t="s">
        <v>56</v>
      </c>
      <c r="D40" cm="1">
        <f t="array" ref="D40:D54">_xlfn.SEQUENCE(15)</f>
        <v>1</v>
      </c>
      <c r="G40" cm="1">
        <f t="array" ref="G40:G59">_xlfn.SEQUENCE(20,,10,4)</f>
        <v>10</v>
      </c>
    </row>
    <row r="41" spans="1:7">
      <c r="A41">
        <v>6</v>
      </c>
      <c r="B41" t="s">
        <v>57</v>
      </c>
      <c r="D41">
        <v>2</v>
      </c>
      <c r="G41">
        <v>14</v>
      </c>
    </row>
    <row r="42" spans="1:7">
      <c r="A42">
        <v>7</v>
      </c>
      <c r="B42" t="s">
        <v>58</v>
      </c>
      <c r="D42">
        <v>3</v>
      </c>
      <c r="G42">
        <v>18</v>
      </c>
    </row>
    <row r="43" spans="1:7">
      <c r="D43">
        <v>4</v>
      </c>
      <c r="G43">
        <v>22</v>
      </c>
    </row>
    <row r="44" spans="1:7">
      <c r="D44">
        <v>5</v>
      </c>
      <c r="G44">
        <v>26</v>
      </c>
    </row>
    <row r="45" spans="1:7">
      <c r="D45">
        <v>6</v>
      </c>
      <c r="G45">
        <v>30</v>
      </c>
    </row>
    <row r="46" spans="1:7">
      <c r="D46">
        <v>7</v>
      </c>
      <c r="G46">
        <v>34</v>
      </c>
    </row>
    <row r="47" spans="1:7">
      <c r="D47">
        <v>8</v>
      </c>
      <c r="G47">
        <v>38</v>
      </c>
    </row>
    <row r="48" spans="1:7">
      <c r="D48">
        <v>9</v>
      </c>
      <c r="G48">
        <v>42</v>
      </c>
    </row>
    <row r="49" spans="4:7">
      <c r="D49">
        <v>10</v>
      </c>
      <c r="G49">
        <v>46</v>
      </c>
    </row>
    <row r="50" spans="4:7">
      <c r="D50">
        <v>11</v>
      </c>
      <c r="G50">
        <v>50</v>
      </c>
    </row>
    <row r="51" spans="4:7">
      <c r="D51">
        <v>12</v>
      </c>
      <c r="G51">
        <v>54</v>
      </c>
    </row>
    <row r="52" spans="4:7">
      <c r="D52">
        <v>13</v>
      </c>
      <c r="G52">
        <v>58</v>
      </c>
    </row>
    <row r="53" spans="4:7">
      <c r="D53">
        <v>14</v>
      </c>
      <c r="G53">
        <v>62</v>
      </c>
    </row>
    <row r="54" spans="4:7">
      <c r="D54">
        <v>15</v>
      </c>
      <c r="G54">
        <v>66</v>
      </c>
    </row>
    <row r="55" spans="4:7">
      <c r="G55">
        <v>70</v>
      </c>
    </row>
    <row r="56" spans="4:7">
      <c r="G56">
        <v>74</v>
      </c>
    </row>
    <row r="57" spans="4:7">
      <c r="G57">
        <v>78</v>
      </c>
    </row>
    <row r="58" spans="4:7">
      <c r="G58">
        <v>82</v>
      </c>
    </row>
    <row r="59" spans="4:7">
      <c r="G59">
        <v>86</v>
      </c>
    </row>
    <row r="67" spans="1:2">
      <c r="A67" t="s">
        <v>17</v>
      </c>
      <c r="B67" t="s">
        <v>18</v>
      </c>
    </row>
    <row r="68" spans="1:2">
      <c r="A68" cm="1">
        <f t="array" ref="A68:A72">_xlfn.SEQUENCE(COUNTA(B68:B84),,1,1)</f>
        <v>1</v>
      </c>
      <c r="B68" t="s">
        <v>28</v>
      </c>
    </row>
    <row r="69" spans="1:2">
      <c r="A69">
        <v>2</v>
      </c>
      <c r="B69" t="s">
        <v>37</v>
      </c>
    </row>
    <row r="70" spans="1:2">
      <c r="A70">
        <v>3</v>
      </c>
      <c r="B70" t="s">
        <v>50</v>
      </c>
    </row>
    <row r="71" spans="1:2">
      <c r="A71">
        <v>4</v>
      </c>
      <c r="B71" t="s">
        <v>48</v>
      </c>
    </row>
    <row r="72" spans="1:2">
      <c r="A72">
        <v>5</v>
      </c>
      <c r="B72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sqref="A1:E11"/>
    </sheetView>
  </sheetViews>
  <sheetFormatPr defaultColWidth="13.875" defaultRowHeight="14.25"/>
  <cols>
    <col min="1" max="1" width="12.25" customWidth="1"/>
    <col min="2" max="2" width="20.25" customWidth="1"/>
    <col min="3" max="3" width="19.125" customWidth="1"/>
    <col min="8" max="8" width="14.375" customWidth="1"/>
  </cols>
  <sheetData>
    <row r="1" spans="1:11" ht="15">
      <c r="A1" s="7" t="s">
        <v>60</v>
      </c>
      <c r="B1" s="4" t="s">
        <v>18</v>
      </c>
      <c r="C1" s="4" t="s">
        <v>19</v>
      </c>
      <c r="D1" s="4" t="s">
        <v>20</v>
      </c>
      <c r="E1" s="4" t="s">
        <v>21</v>
      </c>
    </row>
    <row r="2" spans="1:11" ht="15">
      <c r="A2" s="5">
        <v>401</v>
      </c>
      <c r="B2" s="6" t="s">
        <v>22</v>
      </c>
      <c r="C2" s="6" t="s">
        <v>23</v>
      </c>
      <c r="D2" s="6">
        <v>25000</v>
      </c>
      <c r="E2" s="6" t="s">
        <v>24</v>
      </c>
    </row>
    <row r="3" spans="1:11" ht="15">
      <c r="A3" s="5">
        <v>405</v>
      </c>
      <c r="B3" s="6" t="s">
        <v>25</v>
      </c>
      <c r="C3" s="6" t="s">
        <v>26</v>
      </c>
      <c r="D3" s="6">
        <v>12200</v>
      </c>
      <c r="E3" s="6" t="s">
        <v>27</v>
      </c>
    </row>
    <row r="4" spans="1:11" ht="15">
      <c r="A4" s="5">
        <v>403</v>
      </c>
      <c r="B4" s="6" t="s">
        <v>28</v>
      </c>
      <c r="C4" s="6" t="s">
        <v>29</v>
      </c>
      <c r="D4" s="6">
        <v>17500</v>
      </c>
      <c r="E4" s="6" t="s">
        <v>30</v>
      </c>
    </row>
    <row r="5" spans="1:11" ht="15">
      <c r="A5" s="5">
        <v>406</v>
      </c>
      <c r="B5" s="6" t="s">
        <v>32</v>
      </c>
      <c r="C5" s="6" t="s">
        <v>33</v>
      </c>
      <c r="D5" s="6">
        <v>15200</v>
      </c>
      <c r="E5" s="6" t="s">
        <v>31</v>
      </c>
      <c r="G5" s="7" t="s">
        <v>60</v>
      </c>
      <c r="H5" s="4" t="s">
        <v>18</v>
      </c>
      <c r="I5" s="4" t="s">
        <v>19</v>
      </c>
      <c r="J5" s="4" t="s">
        <v>20</v>
      </c>
      <c r="K5" s="4" t="s">
        <v>21</v>
      </c>
    </row>
    <row r="6" spans="1:11" ht="15">
      <c r="A6" s="5">
        <v>402</v>
      </c>
      <c r="B6" s="6" t="s">
        <v>34</v>
      </c>
      <c r="C6" s="6" t="s">
        <v>35</v>
      </c>
      <c r="D6" s="6">
        <v>26000</v>
      </c>
      <c r="E6" s="6" t="s">
        <v>36</v>
      </c>
      <c r="G6" cm="1">
        <f t="array" ref="G6:K15">_xlfn._xlws.SORT(A2:E11,2,-1,FALSE)</f>
        <v>408</v>
      </c>
      <c r="H6" t="str">
        <v>Satish chandra</v>
      </c>
      <c r="I6" t="str">
        <v>Trainer</v>
      </c>
      <c r="J6">
        <v>18250</v>
      </c>
      <c r="K6" t="str">
        <v>Madikeri</v>
      </c>
    </row>
    <row r="7" spans="1:11" ht="15">
      <c r="A7" s="5">
        <v>404</v>
      </c>
      <c r="B7" s="6" t="s">
        <v>37</v>
      </c>
      <c r="C7" s="6" t="s">
        <v>23</v>
      </c>
      <c r="D7" s="6">
        <v>32500</v>
      </c>
      <c r="E7" s="6" t="s">
        <v>27</v>
      </c>
      <c r="G7">
        <v>409</v>
      </c>
      <c r="H7" t="str">
        <v>Sanjeev</v>
      </c>
      <c r="I7" t="str">
        <v>Trainer</v>
      </c>
      <c r="J7">
        <v>13500</v>
      </c>
      <c r="K7" t="str">
        <v>Hubli</v>
      </c>
    </row>
    <row r="8" spans="1:11" ht="15">
      <c r="A8" s="5">
        <v>407</v>
      </c>
      <c r="B8" s="6" t="s">
        <v>38</v>
      </c>
      <c r="C8" s="6" t="s">
        <v>26</v>
      </c>
      <c r="D8" s="6">
        <v>16400</v>
      </c>
      <c r="E8" s="6" t="s">
        <v>39</v>
      </c>
      <c r="G8">
        <v>410</v>
      </c>
      <c r="H8" t="str">
        <v>Ravikumar</v>
      </c>
      <c r="I8" t="str">
        <v>Sales executive</v>
      </c>
      <c r="J8">
        <v>25000</v>
      </c>
      <c r="K8" t="str">
        <v>Hubli</v>
      </c>
    </row>
    <row r="9" spans="1:11" ht="15">
      <c r="A9" s="5">
        <v>410</v>
      </c>
      <c r="B9" s="6" t="s">
        <v>40</v>
      </c>
      <c r="C9" s="6" t="s">
        <v>29</v>
      </c>
      <c r="D9" s="6">
        <v>25000</v>
      </c>
      <c r="E9" s="6" t="s">
        <v>31</v>
      </c>
      <c r="G9">
        <v>407</v>
      </c>
      <c r="H9" t="str">
        <v>Rajesh kumar</v>
      </c>
      <c r="I9" t="str">
        <v>Clerk</v>
      </c>
      <c r="J9">
        <v>16400</v>
      </c>
      <c r="K9" t="str">
        <v>Mangalore</v>
      </c>
    </row>
    <row r="10" spans="1:11" ht="15">
      <c r="A10" s="5">
        <v>409</v>
      </c>
      <c r="B10" s="6" t="s">
        <v>41</v>
      </c>
      <c r="C10" s="6" t="s">
        <v>42</v>
      </c>
      <c r="D10" s="6">
        <v>13500</v>
      </c>
      <c r="E10" s="6" t="s">
        <v>31</v>
      </c>
      <c r="G10">
        <v>404</v>
      </c>
      <c r="H10" t="str">
        <v>Naveen</v>
      </c>
      <c r="I10" t="str">
        <v>Manager</v>
      </c>
      <c r="J10">
        <v>32500</v>
      </c>
      <c r="K10" t="str">
        <v>Mysore</v>
      </c>
    </row>
    <row r="11" spans="1:11" ht="15">
      <c r="A11" s="5">
        <v>408</v>
      </c>
      <c r="B11" s="6" t="s">
        <v>43</v>
      </c>
      <c r="C11" s="6" t="s">
        <v>42</v>
      </c>
      <c r="D11" s="6">
        <v>18250</v>
      </c>
      <c r="E11" s="6" t="s">
        <v>44</v>
      </c>
      <c r="G11">
        <v>402</v>
      </c>
      <c r="H11" t="str">
        <v>Maheshwar prasad</v>
      </c>
      <c r="I11" t="str">
        <v>Production Manager</v>
      </c>
      <c r="J11">
        <v>26000</v>
      </c>
      <c r="K11" t="str">
        <v>Dharwad</v>
      </c>
    </row>
    <row r="12" spans="1:11">
      <c r="G12">
        <v>406</v>
      </c>
      <c r="H12" t="str">
        <v>Lokesh</v>
      </c>
      <c r="I12" t="str">
        <v>Supervisor</v>
      </c>
      <c r="J12">
        <v>15200</v>
      </c>
      <c r="K12" t="str">
        <v>Hubli</v>
      </c>
    </row>
    <row r="13" spans="1:11">
      <c r="G13">
        <v>403</v>
      </c>
      <c r="H13" t="str">
        <v>Kumar</v>
      </c>
      <c r="I13" t="str">
        <v>Sales executive</v>
      </c>
      <c r="J13">
        <v>17500</v>
      </c>
      <c r="K13" t="str">
        <v>Bangalore</v>
      </c>
    </row>
    <row r="14" spans="1:11">
      <c r="G14">
        <v>405</v>
      </c>
      <c r="H14" t="str">
        <v>Chandrashekar</v>
      </c>
      <c r="I14" t="str">
        <v>Clerk</v>
      </c>
      <c r="J14">
        <v>12200</v>
      </c>
      <c r="K14" t="str">
        <v>Mysore</v>
      </c>
    </row>
    <row r="15" spans="1:11" ht="15">
      <c r="A15" s="7" t="s">
        <v>60</v>
      </c>
      <c r="B15" s="4" t="s">
        <v>18</v>
      </c>
      <c r="C15" s="4" t="s">
        <v>19</v>
      </c>
      <c r="D15" s="4" t="s">
        <v>20</v>
      </c>
      <c r="E15" s="4" t="s">
        <v>21</v>
      </c>
      <c r="G15">
        <v>401</v>
      </c>
      <c r="H15" t="str">
        <v>Anand</v>
      </c>
      <c r="I15" t="str">
        <v>Manager</v>
      </c>
      <c r="J15">
        <v>25000</v>
      </c>
      <c r="K15" t="str">
        <v>Shimoga</v>
      </c>
    </row>
    <row r="16" spans="1:11">
      <c r="A16" cm="1">
        <f t="array" ref="A16:E25">_xlfn._xlws.SORT(A2:E11,4,-1,FALSE)</f>
        <v>404</v>
      </c>
      <c r="B16" t="str">
        <v>Naveen</v>
      </c>
      <c r="C16" t="str">
        <v>Manager</v>
      </c>
      <c r="D16">
        <v>32500</v>
      </c>
      <c r="E16" t="str">
        <v>Mysore</v>
      </c>
    </row>
    <row r="17" spans="1:11">
      <c r="A17">
        <v>402</v>
      </c>
      <c r="B17" t="str">
        <v>Maheshwar prasad</v>
      </c>
      <c r="C17" t="str">
        <v>Production Manager</v>
      </c>
      <c r="D17">
        <v>26000</v>
      </c>
      <c r="E17" t="str">
        <v>Dharwad</v>
      </c>
    </row>
    <row r="18" spans="1:11">
      <c r="A18">
        <v>401</v>
      </c>
      <c r="B18" t="str">
        <v>Anand</v>
      </c>
      <c r="C18" t="str">
        <v>Manager</v>
      </c>
      <c r="D18">
        <v>25000</v>
      </c>
      <c r="E18" t="str">
        <v>Shimoga</v>
      </c>
    </row>
    <row r="19" spans="1:11">
      <c r="A19">
        <v>410</v>
      </c>
      <c r="B19" t="str">
        <v>Ravikumar</v>
      </c>
      <c r="C19" t="str">
        <v>Sales executive</v>
      </c>
      <c r="D19">
        <v>25000</v>
      </c>
      <c r="E19" t="str">
        <v>Hubli</v>
      </c>
    </row>
    <row r="20" spans="1:11">
      <c r="A20">
        <v>408</v>
      </c>
      <c r="B20" t="str">
        <v>Satish chandra</v>
      </c>
      <c r="C20" t="str">
        <v>Trainer</v>
      </c>
      <c r="D20">
        <v>18250</v>
      </c>
      <c r="E20" t="str">
        <v>Madikeri</v>
      </c>
    </row>
    <row r="21" spans="1:11">
      <c r="A21">
        <v>403</v>
      </c>
      <c r="B21" t="str">
        <v>Kumar</v>
      </c>
      <c r="C21" t="str">
        <v>Sales executive</v>
      </c>
      <c r="D21">
        <v>17500</v>
      </c>
      <c r="E21" t="str">
        <v>Bangalore</v>
      </c>
    </row>
    <row r="22" spans="1:11">
      <c r="A22">
        <v>407</v>
      </c>
      <c r="B22" t="str">
        <v>Rajesh kumar</v>
      </c>
      <c r="C22" t="str">
        <v>Clerk</v>
      </c>
      <c r="D22">
        <v>16400</v>
      </c>
      <c r="E22" t="str">
        <v>Mangalore</v>
      </c>
    </row>
    <row r="23" spans="1:11">
      <c r="A23">
        <v>406</v>
      </c>
      <c r="B23" t="str">
        <v>Lokesh</v>
      </c>
      <c r="C23" t="str">
        <v>Supervisor</v>
      </c>
      <c r="D23">
        <v>15200</v>
      </c>
      <c r="E23" t="str">
        <v>Hubli</v>
      </c>
    </row>
    <row r="24" spans="1:11">
      <c r="A24">
        <v>409</v>
      </c>
      <c r="B24" t="str">
        <v>Sanjeev</v>
      </c>
      <c r="C24" t="str">
        <v>Trainer</v>
      </c>
      <c r="D24">
        <v>13500</v>
      </c>
      <c r="E24" t="str">
        <v>Hubli</v>
      </c>
    </row>
    <row r="25" spans="1:11">
      <c r="A25">
        <v>405</v>
      </c>
      <c r="B25" t="str">
        <v>Chandrashekar</v>
      </c>
      <c r="C25" t="str">
        <v>Clerk</v>
      </c>
      <c r="D25">
        <v>12200</v>
      </c>
      <c r="E25" t="str">
        <v>Mysore</v>
      </c>
    </row>
    <row r="29" spans="1:11" ht="15">
      <c r="A29" s="2" t="s">
        <v>17</v>
      </c>
      <c r="B29" s="3">
        <v>1</v>
      </c>
      <c r="C29" s="3">
        <v>2</v>
      </c>
      <c r="D29" s="3">
        <v>3</v>
      </c>
      <c r="E29" s="3">
        <v>4</v>
      </c>
      <c r="G29" s="2" t="s">
        <v>17</v>
      </c>
      <c r="H29" cm="1">
        <f t="array" ref="H29:K31">_xlfn._xlws.SORT(B29:E31,2,1,TRUE)</f>
        <v>4</v>
      </c>
      <c r="I29">
        <v>2</v>
      </c>
      <c r="J29">
        <v>1</v>
      </c>
      <c r="K29">
        <v>3</v>
      </c>
    </row>
    <row r="30" spans="1:11" ht="15">
      <c r="A30" s="2" t="s">
        <v>18</v>
      </c>
      <c r="B30" s="3" t="s">
        <v>38</v>
      </c>
      <c r="C30" s="3" t="s">
        <v>61</v>
      </c>
      <c r="D30" s="3" t="s">
        <v>62</v>
      </c>
      <c r="E30" s="3" t="s">
        <v>63</v>
      </c>
      <c r="G30" s="2" t="s">
        <v>18</v>
      </c>
      <c r="H30" t="str">
        <v>Ajay</v>
      </c>
      <c r="I30" t="str">
        <v>KUmar</v>
      </c>
      <c r="J30" t="str">
        <v>Rajesh kumar</v>
      </c>
      <c r="K30" t="str">
        <v>Satish</v>
      </c>
    </row>
    <row r="31" spans="1:11" ht="15">
      <c r="A31" s="2" t="s">
        <v>21</v>
      </c>
      <c r="B31" s="3" t="s">
        <v>27</v>
      </c>
      <c r="C31" s="3" t="s">
        <v>31</v>
      </c>
      <c r="D31" s="3" t="s">
        <v>64</v>
      </c>
      <c r="E31" s="3" t="s">
        <v>65</v>
      </c>
      <c r="G31" s="2" t="s">
        <v>21</v>
      </c>
      <c r="H31" t="str">
        <v>Chennai</v>
      </c>
      <c r="I31" t="str">
        <v>Hubli</v>
      </c>
      <c r="J31" t="str">
        <v>Mysore</v>
      </c>
      <c r="K31" t="str">
        <v>Mumbai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F15" sqref="F15"/>
    </sheetView>
  </sheetViews>
  <sheetFormatPr defaultRowHeight="14.25"/>
  <cols>
    <col min="1" max="1" width="8.625" customWidth="1"/>
    <col min="2" max="2" width="20.25" customWidth="1"/>
    <col min="3" max="3" width="19.125" customWidth="1"/>
    <col min="4" max="4" width="10.875" customWidth="1"/>
    <col min="5" max="5" width="13.875"/>
    <col min="8" max="8" width="8.625" customWidth="1"/>
    <col min="9" max="9" width="20.25" customWidth="1"/>
    <col min="10" max="10" width="19.125" customWidth="1"/>
    <col min="11" max="11" width="10.875" customWidth="1"/>
  </cols>
  <sheetData>
    <row r="1" spans="1:12" ht="15">
      <c r="A1" s="7" t="s">
        <v>60</v>
      </c>
      <c r="B1" s="4" t="s">
        <v>18</v>
      </c>
      <c r="C1" s="4" t="s">
        <v>19</v>
      </c>
      <c r="D1" s="4" t="s">
        <v>20</v>
      </c>
      <c r="E1" s="4" t="s">
        <v>21</v>
      </c>
      <c r="H1" s="7" t="s">
        <v>60</v>
      </c>
      <c r="I1" s="4" t="s">
        <v>18</v>
      </c>
      <c r="J1" s="4" t="s">
        <v>19</v>
      </c>
      <c r="K1" s="4" t="s">
        <v>20</v>
      </c>
      <c r="L1" s="4" t="s">
        <v>21</v>
      </c>
    </row>
    <row r="2" spans="1:12" ht="15">
      <c r="A2" s="5">
        <v>401</v>
      </c>
      <c r="B2" s="6" t="s">
        <v>22</v>
      </c>
      <c r="C2" s="6" t="s">
        <v>23</v>
      </c>
      <c r="D2" s="6">
        <v>25000</v>
      </c>
      <c r="E2" s="6" t="s">
        <v>24</v>
      </c>
      <c r="H2" cm="1">
        <f t="array" ref="H2:L11">_xlfn.SORTBY(A2:E11,E2:E11,1)</f>
        <v>403</v>
      </c>
      <c r="I2" t="str">
        <v>Kumar</v>
      </c>
      <c r="J2" t="str">
        <v>Manager</v>
      </c>
      <c r="K2">
        <v>17500</v>
      </c>
      <c r="L2" t="str">
        <v>Hubli</v>
      </c>
    </row>
    <row r="3" spans="1:12" ht="15">
      <c r="A3" s="5">
        <v>405</v>
      </c>
      <c r="B3" s="6" t="s">
        <v>25</v>
      </c>
      <c r="C3" s="6" t="s">
        <v>33</v>
      </c>
      <c r="D3" s="6">
        <v>12200</v>
      </c>
      <c r="E3" s="6" t="s">
        <v>27</v>
      </c>
      <c r="H3">
        <v>406</v>
      </c>
      <c r="I3" t="str">
        <v>Lokesh</v>
      </c>
      <c r="J3" t="str">
        <v>Supervisor</v>
      </c>
      <c r="K3">
        <v>15200</v>
      </c>
      <c r="L3" t="str">
        <v>Hubli</v>
      </c>
    </row>
    <row r="4" spans="1:12" ht="15">
      <c r="A4" s="5">
        <v>403</v>
      </c>
      <c r="B4" s="6" t="s">
        <v>28</v>
      </c>
      <c r="C4" s="6" t="s">
        <v>23</v>
      </c>
      <c r="D4" s="6">
        <v>17500</v>
      </c>
      <c r="E4" s="6" t="s">
        <v>31</v>
      </c>
      <c r="H4">
        <v>410</v>
      </c>
      <c r="I4" t="str">
        <v>Ravikumar</v>
      </c>
      <c r="J4" t="str">
        <v>Supervisor</v>
      </c>
      <c r="K4">
        <v>25000</v>
      </c>
      <c r="L4" t="str">
        <v>Hubli</v>
      </c>
    </row>
    <row r="5" spans="1:12" ht="15">
      <c r="A5" s="5">
        <v>406</v>
      </c>
      <c r="B5" s="6" t="s">
        <v>32</v>
      </c>
      <c r="C5" s="6" t="s">
        <v>33</v>
      </c>
      <c r="D5" s="6">
        <v>15200</v>
      </c>
      <c r="E5" s="6" t="s">
        <v>31</v>
      </c>
      <c r="H5">
        <v>409</v>
      </c>
      <c r="I5" t="str">
        <v>Sanjeev</v>
      </c>
      <c r="J5" t="str">
        <v>Trainer</v>
      </c>
      <c r="K5">
        <v>13500</v>
      </c>
      <c r="L5" t="str">
        <v>Hubli</v>
      </c>
    </row>
    <row r="6" spans="1:12" ht="15">
      <c r="A6" s="5">
        <v>402</v>
      </c>
      <c r="B6" s="6" t="s">
        <v>34</v>
      </c>
      <c r="C6" s="6" t="s">
        <v>33</v>
      </c>
      <c r="D6" s="6">
        <v>26000</v>
      </c>
      <c r="E6" s="6" t="s">
        <v>24</v>
      </c>
      <c r="H6">
        <v>405</v>
      </c>
      <c r="I6" t="str">
        <v>Chandrashekar</v>
      </c>
      <c r="J6" t="str">
        <v>Supervisor</v>
      </c>
      <c r="K6">
        <v>12200</v>
      </c>
      <c r="L6" t="str">
        <v>Mysore</v>
      </c>
    </row>
    <row r="7" spans="1:12" ht="15">
      <c r="A7" s="5">
        <v>404</v>
      </c>
      <c r="B7" s="6" t="s">
        <v>37</v>
      </c>
      <c r="C7" s="6" t="s">
        <v>23</v>
      </c>
      <c r="D7" s="6">
        <v>32500</v>
      </c>
      <c r="E7" s="6" t="s">
        <v>27</v>
      </c>
      <c r="H7">
        <v>404</v>
      </c>
      <c r="I7" t="str">
        <v>Naveen</v>
      </c>
      <c r="J7" t="str">
        <v>Manager</v>
      </c>
      <c r="K7">
        <v>32500</v>
      </c>
      <c r="L7" t="str">
        <v>Mysore</v>
      </c>
    </row>
    <row r="8" spans="1:12" ht="15">
      <c r="A8" s="5">
        <v>407</v>
      </c>
      <c r="B8" s="6" t="s">
        <v>38</v>
      </c>
      <c r="C8" s="6" t="s">
        <v>26</v>
      </c>
      <c r="D8" s="6">
        <v>16400</v>
      </c>
      <c r="E8" s="6" t="s">
        <v>27</v>
      </c>
      <c r="H8">
        <v>407</v>
      </c>
      <c r="I8" t="str">
        <v>Rajesh kumar</v>
      </c>
      <c r="J8" t="str">
        <v>Clerk</v>
      </c>
      <c r="K8">
        <v>16400</v>
      </c>
      <c r="L8" t="str">
        <v>Mysore</v>
      </c>
    </row>
    <row r="9" spans="1:12" ht="15">
      <c r="A9" s="5">
        <v>410</v>
      </c>
      <c r="B9" s="6" t="s">
        <v>40</v>
      </c>
      <c r="C9" s="6" t="s">
        <v>33</v>
      </c>
      <c r="D9" s="6">
        <v>25000</v>
      </c>
      <c r="E9" s="6" t="s">
        <v>31</v>
      </c>
      <c r="H9">
        <v>401</v>
      </c>
      <c r="I9" t="str">
        <v>Anand</v>
      </c>
      <c r="J9" t="str">
        <v>Manager</v>
      </c>
      <c r="K9">
        <v>25000</v>
      </c>
      <c r="L9" t="str">
        <v>Shimoga</v>
      </c>
    </row>
    <row r="10" spans="1:12" ht="15">
      <c r="A10" s="5">
        <v>409</v>
      </c>
      <c r="B10" s="6" t="s">
        <v>41</v>
      </c>
      <c r="C10" s="6" t="s">
        <v>42</v>
      </c>
      <c r="D10" s="6">
        <v>13500</v>
      </c>
      <c r="E10" s="6" t="s">
        <v>31</v>
      </c>
      <c r="H10">
        <v>402</v>
      </c>
      <c r="I10" t="str">
        <v>Maheshwar prasad</v>
      </c>
      <c r="J10" t="str">
        <v>Supervisor</v>
      </c>
      <c r="K10">
        <v>26000</v>
      </c>
      <c r="L10" t="str">
        <v>Shimoga</v>
      </c>
    </row>
    <row r="11" spans="1:12" ht="15">
      <c r="A11" s="5">
        <v>408</v>
      </c>
      <c r="B11" s="6" t="s">
        <v>43</v>
      </c>
      <c r="C11" s="6" t="s">
        <v>42</v>
      </c>
      <c r="D11" s="6">
        <v>18250</v>
      </c>
      <c r="E11" s="6" t="s">
        <v>24</v>
      </c>
      <c r="H11">
        <v>408</v>
      </c>
      <c r="I11" t="str">
        <v>Satish chandra</v>
      </c>
      <c r="J11" t="str">
        <v>Trainer</v>
      </c>
      <c r="K11">
        <v>18250</v>
      </c>
      <c r="L11" t="str">
        <v>Shimoga</v>
      </c>
    </row>
    <row r="14" spans="1:12" ht="15">
      <c r="H14" s="7" t="s">
        <v>60</v>
      </c>
      <c r="I14" s="4" t="s">
        <v>18</v>
      </c>
      <c r="J14" s="4" t="s">
        <v>19</v>
      </c>
      <c r="K14" s="4" t="s">
        <v>20</v>
      </c>
      <c r="L14" s="4" t="s">
        <v>21</v>
      </c>
    </row>
    <row r="15" spans="1:12">
      <c r="H15" cm="1">
        <f t="array" ref="H15:L24">_xlfn.SORTBY(A2:E11,E2:E11,1,D2:D11,1)</f>
        <v>409</v>
      </c>
      <c r="I15" t="str">
        <v>Sanjeev</v>
      </c>
      <c r="J15" t="str">
        <v>Trainer</v>
      </c>
      <c r="K15">
        <v>13500</v>
      </c>
      <c r="L15" t="str">
        <v>Hubli</v>
      </c>
    </row>
    <row r="16" spans="1:12">
      <c r="H16">
        <v>406</v>
      </c>
      <c r="I16" t="str">
        <v>Lokesh</v>
      </c>
      <c r="J16" t="str">
        <v>Supervisor</v>
      </c>
      <c r="K16">
        <v>15200</v>
      </c>
      <c r="L16" t="str">
        <v>Hubli</v>
      </c>
    </row>
    <row r="17" spans="8:12">
      <c r="H17">
        <v>403</v>
      </c>
      <c r="I17" t="str">
        <v>Kumar</v>
      </c>
      <c r="J17" t="str">
        <v>Manager</v>
      </c>
      <c r="K17">
        <v>17500</v>
      </c>
      <c r="L17" t="str">
        <v>Hubli</v>
      </c>
    </row>
    <row r="18" spans="8:12">
      <c r="H18">
        <v>410</v>
      </c>
      <c r="I18" t="str">
        <v>Ravikumar</v>
      </c>
      <c r="J18" t="str">
        <v>Supervisor</v>
      </c>
      <c r="K18">
        <v>25000</v>
      </c>
      <c r="L18" t="str">
        <v>Hubli</v>
      </c>
    </row>
    <row r="19" spans="8:12">
      <c r="H19">
        <v>405</v>
      </c>
      <c r="I19" t="str">
        <v>Chandrashekar</v>
      </c>
      <c r="J19" t="str">
        <v>Supervisor</v>
      </c>
      <c r="K19">
        <v>12200</v>
      </c>
      <c r="L19" t="str">
        <v>Mysore</v>
      </c>
    </row>
    <row r="20" spans="8:12">
      <c r="H20">
        <v>407</v>
      </c>
      <c r="I20" t="str">
        <v>Rajesh kumar</v>
      </c>
      <c r="J20" t="str">
        <v>Clerk</v>
      </c>
      <c r="K20">
        <v>16400</v>
      </c>
      <c r="L20" t="str">
        <v>Mysore</v>
      </c>
    </row>
    <row r="21" spans="8:12">
      <c r="H21">
        <v>404</v>
      </c>
      <c r="I21" t="str">
        <v>Naveen</v>
      </c>
      <c r="J21" t="str">
        <v>Manager</v>
      </c>
      <c r="K21">
        <v>32500</v>
      </c>
      <c r="L21" t="str">
        <v>Mysore</v>
      </c>
    </row>
    <row r="22" spans="8:12">
      <c r="H22">
        <v>408</v>
      </c>
      <c r="I22" t="str">
        <v>Satish chandra</v>
      </c>
      <c r="J22" t="str">
        <v>Trainer</v>
      </c>
      <c r="K22">
        <v>18250</v>
      </c>
      <c r="L22" t="str">
        <v>Shimoga</v>
      </c>
    </row>
    <row r="23" spans="8:12">
      <c r="H23">
        <v>401</v>
      </c>
      <c r="I23" t="str">
        <v>Anand</v>
      </c>
      <c r="J23" t="str">
        <v>Manager</v>
      </c>
      <c r="K23">
        <v>25000</v>
      </c>
      <c r="L23" t="str">
        <v>Shimoga</v>
      </c>
    </row>
    <row r="24" spans="8:12">
      <c r="H24">
        <v>402</v>
      </c>
      <c r="I24" t="str">
        <v>Maheshwar prasad</v>
      </c>
      <c r="J24" t="str">
        <v>Supervisor</v>
      </c>
      <c r="K24">
        <v>26000</v>
      </c>
      <c r="L24" t="str">
        <v>Shimoga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4"/>
  <sheetViews>
    <sheetView workbookViewId="0">
      <selection activeCell="M8" sqref="M8"/>
    </sheetView>
  </sheetViews>
  <sheetFormatPr defaultRowHeight="14.25"/>
  <cols>
    <col min="12" max="12" width="16.25" customWidth="1"/>
  </cols>
  <sheetData>
    <row r="2" spans="2:12" ht="15">
      <c r="J2" s="1" t="s">
        <v>66</v>
      </c>
      <c r="L2" s="1" t="s">
        <v>67</v>
      </c>
    </row>
    <row r="3" spans="2:12" ht="15">
      <c r="B3" t="s">
        <v>68</v>
      </c>
      <c r="G3" s="11" t="s">
        <v>24</v>
      </c>
      <c r="J3" t="str" cm="1">
        <f t="array" ref="J3:J7">_xlfn.UNIQUE(G3:G14,FALSE,FALSE)</f>
        <v>Shimoga</v>
      </c>
      <c r="L3" t="str" cm="1">
        <f t="array" ref="L3:L4">_xlfn.UNIQUE(G3:G14,FALSE,TRUE)</f>
        <v>Chennai</v>
      </c>
    </row>
    <row r="4" spans="2:12" ht="15">
      <c r="B4" t="s">
        <v>69</v>
      </c>
      <c r="G4" s="11" t="s">
        <v>27</v>
      </c>
      <c r="J4" t="str">
        <v>Mysore</v>
      </c>
      <c r="L4" t="str">
        <v>Mumbai</v>
      </c>
    </row>
    <row r="5" spans="2:12" ht="15">
      <c r="B5" t="s">
        <v>70</v>
      </c>
      <c r="G5" s="11" t="s">
        <v>31</v>
      </c>
      <c r="J5" t="str">
        <v>Hubli</v>
      </c>
    </row>
    <row r="6" spans="2:12" ht="15">
      <c r="B6" t="s">
        <v>71</v>
      </c>
      <c r="G6" s="11" t="s">
        <v>31</v>
      </c>
      <c r="J6" t="str">
        <v>Chennai</v>
      </c>
    </row>
    <row r="7" spans="2:12" ht="15">
      <c r="B7" t="s">
        <v>68</v>
      </c>
      <c r="G7" s="11" t="s">
        <v>24</v>
      </c>
      <c r="J7" t="str">
        <v>Mumbai</v>
      </c>
    </row>
    <row r="8" spans="2:12" ht="15">
      <c r="B8" t="s">
        <v>69</v>
      </c>
      <c r="G8" s="11" t="s">
        <v>27</v>
      </c>
    </row>
    <row r="9" spans="2:12" ht="15">
      <c r="G9" s="11" t="s">
        <v>27</v>
      </c>
    </row>
    <row r="10" spans="2:12" ht="15">
      <c r="G10" s="11" t="s">
        <v>31</v>
      </c>
    </row>
    <row r="11" spans="2:12" ht="15">
      <c r="G11" s="11" t="s">
        <v>31</v>
      </c>
    </row>
    <row r="12" spans="2:12" ht="15">
      <c r="G12" s="11" t="s">
        <v>24</v>
      </c>
    </row>
    <row r="13" spans="2:12">
      <c r="G13" t="s">
        <v>65</v>
      </c>
    </row>
    <row r="14" spans="2:12">
      <c r="G14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H15" sqref="H15"/>
    </sheetView>
  </sheetViews>
  <sheetFormatPr defaultRowHeight="14.25"/>
  <cols>
    <col min="1" max="1" width="12.25" customWidth="1"/>
    <col min="2" max="2" width="20.25" customWidth="1"/>
    <col min="3" max="3" width="19.125" customWidth="1"/>
    <col min="4" max="5" width="13.875"/>
    <col min="8" max="9" width="14.125" customWidth="1"/>
    <col min="10" max="10" width="19.125" customWidth="1"/>
  </cols>
  <sheetData>
    <row r="1" spans="1:10" ht="15">
      <c r="A1" s="7" t="s">
        <v>60</v>
      </c>
      <c r="B1" s="4" t="s">
        <v>18</v>
      </c>
      <c r="C1" s="4" t="s">
        <v>19</v>
      </c>
      <c r="D1" s="4" t="s">
        <v>20</v>
      </c>
      <c r="E1" s="4" t="s">
        <v>21</v>
      </c>
    </row>
    <row r="2" spans="1:10" ht="15">
      <c r="A2" s="5">
        <v>401</v>
      </c>
      <c r="B2" s="6" t="s">
        <v>22</v>
      </c>
      <c r="C2" s="6" t="s">
        <v>23</v>
      </c>
      <c r="D2" s="6">
        <v>25000</v>
      </c>
      <c r="E2" s="6" t="s">
        <v>24</v>
      </c>
    </row>
    <row r="3" spans="1:10" ht="15">
      <c r="A3" s="5">
        <v>405</v>
      </c>
      <c r="B3" s="6" t="s">
        <v>25</v>
      </c>
      <c r="C3" s="6" t="s">
        <v>26</v>
      </c>
      <c r="D3" s="6">
        <v>12200</v>
      </c>
      <c r="E3" s="6" t="s">
        <v>27</v>
      </c>
    </row>
    <row r="4" spans="1:10" ht="15">
      <c r="A4" s="5">
        <v>403</v>
      </c>
      <c r="B4" s="6" t="s">
        <v>28</v>
      </c>
      <c r="C4" s="6" t="s">
        <v>29</v>
      </c>
      <c r="D4" s="6">
        <v>17500</v>
      </c>
      <c r="E4" s="6" t="s">
        <v>30</v>
      </c>
    </row>
    <row r="5" spans="1:10" ht="15">
      <c r="A5" s="5">
        <v>406</v>
      </c>
      <c r="B5" s="6" t="s">
        <v>32</v>
      </c>
      <c r="C5" s="6" t="s">
        <v>33</v>
      </c>
      <c r="D5" s="6">
        <v>15200</v>
      </c>
      <c r="E5" s="6" t="s">
        <v>31</v>
      </c>
      <c r="H5" t="s">
        <v>72</v>
      </c>
      <c r="I5" t="s">
        <v>20</v>
      </c>
      <c r="J5" t="s">
        <v>21</v>
      </c>
    </row>
    <row r="6" spans="1:10" ht="15">
      <c r="A6" s="5">
        <v>402</v>
      </c>
      <c r="B6" s="6" t="s">
        <v>34</v>
      </c>
      <c r="C6" s="6" t="s">
        <v>35</v>
      </c>
      <c r="D6" s="6">
        <v>26000</v>
      </c>
      <c r="E6" s="6" t="s">
        <v>36</v>
      </c>
      <c r="H6">
        <v>407</v>
      </c>
      <c r="I6">
        <f>_xlfn.XLOOKUP(H6,A2:A11,D2:D11,"No records",0,1)</f>
        <v>16400</v>
      </c>
      <c r="J6" t="str">
        <f>_xlfn.XLOOKUP(H6,A2:A11,E2:E11,"Not found",0,1)</f>
        <v>Mangalore</v>
      </c>
    </row>
    <row r="7" spans="1:10" ht="15">
      <c r="A7" s="5">
        <v>404</v>
      </c>
      <c r="B7" s="6" t="s">
        <v>37</v>
      </c>
      <c r="C7" s="6" t="s">
        <v>23</v>
      </c>
      <c r="D7" s="6">
        <v>32500</v>
      </c>
      <c r="E7" s="6" t="s">
        <v>27</v>
      </c>
    </row>
    <row r="8" spans="1:10" ht="15">
      <c r="A8" s="5">
        <v>407</v>
      </c>
      <c r="B8" s="6" t="s">
        <v>38</v>
      </c>
      <c r="C8" s="6" t="s">
        <v>26</v>
      </c>
      <c r="D8" s="6">
        <v>16400</v>
      </c>
      <c r="E8" s="6" t="s">
        <v>39</v>
      </c>
    </row>
    <row r="9" spans="1:10" ht="15">
      <c r="A9" s="5">
        <v>410</v>
      </c>
      <c r="B9" s="6" t="s">
        <v>40</v>
      </c>
      <c r="C9" s="6" t="s">
        <v>29</v>
      </c>
      <c r="D9" s="6">
        <v>25000</v>
      </c>
      <c r="E9" s="6" t="s">
        <v>31</v>
      </c>
    </row>
    <row r="10" spans="1:10" ht="15">
      <c r="A10" s="5">
        <v>409</v>
      </c>
      <c r="B10" s="6" t="s">
        <v>41</v>
      </c>
      <c r="C10" s="6" t="s">
        <v>42</v>
      </c>
      <c r="D10" s="6">
        <v>13500</v>
      </c>
      <c r="E10" s="6" t="s">
        <v>31</v>
      </c>
    </row>
    <row r="11" spans="1:10" ht="15">
      <c r="A11" s="5">
        <v>408</v>
      </c>
      <c r="B11" s="6" t="s">
        <v>43</v>
      </c>
      <c r="C11" s="6" t="s">
        <v>42</v>
      </c>
      <c r="D11" s="6">
        <v>18250</v>
      </c>
      <c r="E11" s="6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C2" sqref="C2"/>
    </sheetView>
  </sheetViews>
  <sheetFormatPr defaultRowHeight="14.25"/>
  <cols>
    <col min="1" max="1" width="12.25" customWidth="1"/>
    <col min="2" max="2" width="20.25" customWidth="1"/>
    <col min="3" max="3" width="19.125" customWidth="1"/>
    <col min="5" max="5" width="14.625" customWidth="1"/>
    <col min="9" max="9" width="12.375" customWidth="1"/>
    <col min="10" max="10" width="12.625" customWidth="1"/>
    <col min="13" max="13" width="12.75" customWidth="1"/>
  </cols>
  <sheetData>
    <row r="1" spans="1:13" ht="15">
      <c r="A1" s="7" t="s">
        <v>60</v>
      </c>
      <c r="B1" s="4" t="s">
        <v>18</v>
      </c>
      <c r="C1" s="4" t="s">
        <v>19</v>
      </c>
      <c r="D1" s="4" t="s">
        <v>20</v>
      </c>
      <c r="E1" s="4" t="s">
        <v>21</v>
      </c>
    </row>
    <row r="2" spans="1:13" ht="15">
      <c r="A2" s="5">
        <v>401</v>
      </c>
      <c r="B2" s="6" t="s">
        <v>22</v>
      </c>
      <c r="C2" s="6" t="s">
        <v>23</v>
      </c>
      <c r="D2" s="6">
        <v>25000</v>
      </c>
      <c r="E2" s="6" t="s">
        <v>24</v>
      </c>
    </row>
    <row r="3" spans="1:13" ht="15">
      <c r="A3" s="5">
        <v>405</v>
      </c>
      <c r="B3" s="6" t="s">
        <v>25</v>
      </c>
      <c r="C3" s="6" t="s">
        <v>26</v>
      </c>
      <c r="D3" s="6">
        <v>12200</v>
      </c>
      <c r="E3" s="6" t="s">
        <v>27</v>
      </c>
    </row>
    <row r="4" spans="1:13" ht="15">
      <c r="A4" s="5">
        <v>403</v>
      </c>
      <c r="B4" s="6" t="s">
        <v>28</v>
      </c>
      <c r="C4" s="6" t="s">
        <v>29</v>
      </c>
      <c r="D4" s="6">
        <v>17500</v>
      </c>
      <c r="E4" s="6" t="s">
        <v>30</v>
      </c>
      <c r="I4" t="s">
        <v>73</v>
      </c>
      <c r="J4" t="s">
        <v>74</v>
      </c>
      <c r="M4" t="s">
        <v>75</v>
      </c>
    </row>
    <row r="5" spans="1:13" ht="15">
      <c r="A5" s="5">
        <v>406</v>
      </c>
      <c r="B5" s="6" t="s">
        <v>32</v>
      </c>
      <c r="C5" s="6" t="s">
        <v>33</v>
      </c>
      <c r="D5" s="6">
        <v>15200</v>
      </c>
      <c r="E5" s="6" t="s">
        <v>31</v>
      </c>
      <c r="I5">
        <v>407</v>
      </c>
      <c r="J5">
        <f>_xlfn.XMATCH(I5,A2:A11,0)</f>
        <v>7</v>
      </c>
      <c r="M5" t="str" cm="1">
        <f t="array" ref="M5">INDEX(E2:E11,J5)</f>
        <v>Mangalore</v>
      </c>
    </row>
    <row r="6" spans="1:13" ht="15">
      <c r="A6" s="5">
        <v>402</v>
      </c>
      <c r="B6" s="6" t="s">
        <v>34</v>
      </c>
      <c r="C6" s="6" t="s">
        <v>35</v>
      </c>
      <c r="D6" s="6">
        <v>26000</v>
      </c>
      <c r="E6" s="6" t="s">
        <v>36</v>
      </c>
    </row>
    <row r="7" spans="1:13" ht="15">
      <c r="A7" s="5">
        <v>404</v>
      </c>
      <c r="B7" s="6" t="s">
        <v>37</v>
      </c>
      <c r="C7" s="6" t="s">
        <v>23</v>
      </c>
      <c r="D7" s="6">
        <v>32500</v>
      </c>
      <c r="E7" s="6" t="s">
        <v>27</v>
      </c>
    </row>
    <row r="8" spans="1:13" ht="15">
      <c r="A8" s="5">
        <v>407</v>
      </c>
      <c r="B8" s="6" t="s">
        <v>38</v>
      </c>
      <c r="C8" s="6" t="s">
        <v>26</v>
      </c>
      <c r="D8" s="6">
        <v>16400</v>
      </c>
      <c r="E8" s="6" t="s">
        <v>39</v>
      </c>
    </row>
    <row r="9" spans="1:13" ht="15">
      <c r="A9" s="5">
        <v>410</v>
      </c>
      <c r="B9" s="6" t="s">
        <v>40</v>
      </c>
      <c r="C9" s="6" t="s">
        <v>29</v>
      </c>
      <c r="D9" s="6">
        <v>25000</v>
      </c>
      <c r="E9" s="6" t="s">
        <v>31</v>
      </c>
    </row>
    <row r="10" spans="1:13" ht="15">
      <c r="A10" s="5">
        <v>409</v>
      </c>
      <c r="B10" s="6" t="s">
        <v>41</v>
      </c>
      <c r="C10" s="6" t="s">
        <v>42</v>
      </c>
      <c r="D10" s="6">
        <v>13500</v>
      </c>
      <c r="E10" s="6" t="s">
        <v>31</v>
      </c>
    </row>
    <row r="11" spans="1:13" ht="15">
      <c r="A11" s="5">
        <v>408</v>
      </c>
      <c r="B11" s="6" t="s">
        <v>43</v>
      </c>
      <c r="C11" s="6" t="s">
        <v>42</v>
      </c>
      <c r="D11" s="6">
        <v>18250</v>
      </c>
      <c r="E11" s="6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Dynamic arrays</vt:lpstr>
      <vt:lpstr>Filter</vt:lpstr>
      <vt:lpstr>Randarray</vt:lpstr>
      <vt:lpstr>Sequence</vt:lpstr>
      <vt:lpstr>Sort</vt:lpstr>
      <vt:lpstr>Sortyby</vt:lpstr>
      <vt:lpstr>Unique</vt:lpstr>
      <vt:lpstr>XLookup</vt:lpstr>
      <vt:lpstr>XMatch</vt:lpstr>
      <vt:lpstr>Sheet10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DELL</cp:lastModifiedBy>
  <cp:revision/>
  <dcterms:created xsi:type="dcterms:W3CDTF">2024-02-15T06:29:15Z</dcterms:created>
  <dcterms:modified xsi:type="dcterms:W3CDTF">2024-02-18T23:58:05Z</dcterms:modified>
  <cp:category/>
  <cp:contentStatus/>
</cp:coreProperties>
</file>