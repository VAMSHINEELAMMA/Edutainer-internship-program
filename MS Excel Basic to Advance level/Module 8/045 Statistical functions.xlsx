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 activeTab="2"/>
  </bookViews>
  <sheets>
    <sheet name="Statistical functions" sheetId="1" r:id="rId1"/>
    <sheet name="Statistical functions (2)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3" l="1"/>
  <c r="H28" i="3"/>
  <c r="H29" i="3"/>
  <c r="H30" i="3"/>
  <c r="H31" i="3"/>
  <c r="H32" i="3"/>
  <c r="H33" i="3"/>
  <c r="H34" i="3"/>
  <c r="H35" i="3"/>
  <c r="H26" i="3"/>
  <c r="D18" i="3"/>
  <c r="D19" i="3"/>
  <c r="D20" i="3"/>
  <c r="D17" i="3"/>
  <c r="C18" i="3"/>
  <c r="C19" i="3"/>
  <c r="C20" i="3"/>
  <c r="C17" i="3"/>
  <c r="F3" i="3"/>
  <c r="F4" i="3"/>
  <c r="F5" i="3"/>
  <c r="F6" i="3"/>
  <c r="F7" i="3"/>
  <c r="F8" i="3"/>
  <c r="F9" i="3"/>
  <c r="F10" i="3"/>
  <c r="F11" i="3"/>
  <c r="F2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B15" i="2"/>
  <c r="B14" i="2"/>
  <c r="B13" i="2"/>
  <c r="B12" i="2"/>
  <c r="B11" i="2"/>
  <c r="B10" i="2"/>
  <c r="B9" i="2"/>
  <c r="B8" i="2"/>
  <c r="B7" i="2"/>
  <c r="B6" i="2"/>
  <c r="B5" i="2"/>
  <c r="B4" i="2"/>
  <c r="C15" i="1" l="1"/>
  <c r="C14" i="1"/>
  <c r="C13" i="1"/>
  <c r="C12" i="1"/>
  <c r="C11" i="1"/>
  <c r="C10" i="1"/>
  <c r="C9" i="1"/>
  <c r="C8" i="1"/>
  <c r="C7" i="1"/>
  <c r="C6" i="1"/>
  <c r="C5" i="1"/>
  <c r="C4" i="1"/>
  <c r="C17" i="1" s="1"/>
</calcChain>
</file>

<file path=xl/sharedStrings.xml><?xml version="1.0" encoding="utf-8"?>
<sst xmlns="http://schemas.openxmlformats.org/spreadsheetml/2006/main" count="111" uniqueCount="85">
  <si>
    <t>Mean</t>
  </si>
  <si>
    <t>=AVERAGE(B1:I1)</t>
  </si>
  <si>
    <t>Median</t>
  </si>
  <si>
    <t>=MEDIAN(B1:I1)</t>
  </si>
  <si>
    <t>Mode</t>
  </si>
  <si>
    <t>=MODE(B1:I1)</t>
  </si>
  <si>
    <t>Standard Deviation</t>
  </si>
  <si>
    <t>=STDEV(B1:I1)</t>
  </si>
  <si>
    <t>Sample Variance</t>
  </si>
  <si>
    <t>=VAR(B1:I1)</t>
  </si>
  <si>
    <t>Range</t>
  </si>
  <si>
    <t>=MAX(B1:I1)-MIN(B1:I1)</t>
  </si>
  <si>
    <t>Minimum</t>
  </si>
  <si>
    <t>=MIN(B1:I1)</t>
  </si>
  <si>
    <t>Maximum</t>
  </si>
  <si>
    <t>=MAX(B1:I1)</t>
  </si>
  <si>
    <t>Sum</t>
  </si>
  <si>
    <t>=SUM(B1:I1)</t>
  </si>
  <si>
    <t>Count</t>
  </si>
  <si>
    <t>=COUNT(B1:I1)</t>
  </si>
  <si>
    <t>Large</t>
  </si>
  <si>
    <t>=LARGE(B1:I1,1)</t>
  </si>
  <si>
    <t>Small</t>
  </si>
  <si>
    <t>=SMALL(B1:I1,1)</t>
  </si>
  <si>
    <t>Emp Id</t>
  </si>
  <si>
    <t>Emp Name</t>
  </si>
  <si>
    <t>Designation</t>
  </si>
  <si>
    <t>E001</t>
  </si>
  <si>
    <t>Naveen</t>
  </si>
  <si>
    <t>Manager</t>
  </si>
  <si>
    <t>E002</t>
  </si>
  <si>
    <t>Vinay</t>
  </si>
  <si>
    <t>Sales Manager</t>
  </si>
  <si>
    <t>E003</t>
  </si>
  <si>
    <t>Rajesh</t>
  </si>
  <si>
    <t>Administrator</t>
  </si>
  <si>
    <t>E004</t>
  </si>
  <si>
    <t>Trainer</t>
  </si>
  <si>
    <t>E005</t>
  </si>
  <si>
    <t>Mahendra</t>
  </si>
  <si>
    <t>Coordinator</t>
  </si>
  <si>
    <t>E006</t>
  </si>
  <si>
    <t>Clerk</t>
  </si>
  <si>
    <t>E007</t>
  </si>
  <si>
    <t>Daya</t>
  </si>
  <si>
    <t>E008</t>
  </si>
  <si>
    <t>Sanjana</t>
  </si>
  <si>
    <t>E009</t>
  </si>
  <si>
    <t>Pooja</t>
  </si>
  <si>
    <t>Sales rep</t>
  </si>
  <si>
    <t>E010</t>
  </si>
  <si>
    <t>Mahesh</t>
  </si>
  <si>
    <t>Marketing Executive</t>
  </si>
  <si>
    <t>Gender</t>
  </si>
  <si>
    <t>Male</t>
  </si>
  <si>
    <t>Female</t>
  </si>
  <si>
    <t>Anjali</t>
  </si>
  <si>
    <t>Navile</t>
  </si>
  <si>
    <t>Divya</t>
  </si>
  <si>
    <t>Monisha</t>
  </si>
  <si>
    <t>MAXIFS</t>
  </si>
  <si>
    <t>MINIFS</t>
  </si>
  <si>
    <t>Salary</t>
  </si>
  <si>
    <t>Population</t>
  </si>
  <si>
    <t>City Name</t>
  </si>
  <si>
    <t>Benaluru</t>
  </si>
  <si>
    <t>Mysuru</t>
  </si>
  <si>
    <t>Hubli</t>
  </si>
  <si>
    <t>Dharawad</t>
  </si>
  <si>
    <t>SL No</t>
  </si>
  <si>
    <t>Student Name</t>
  </si>
  <si>
    <t>Written test</t>
  </si>
  <si>
    <t>Interview</t>
  </si>
  <si>
    <t>Practicals</t>
  </si>
  <si>
    <t>Total</t>
  </si>
  <si>
    <t>Average</t>
  </si>
  <si>
    <t>Avinash</t>
  </si>
  <si>
    <t>Mahadev</t>
  </si>
  <si>
    <t>Manoj</t>
  </si>
  <si>
    <t>Ravi</t>
  </si>
  <si>
    <t>Vasanth</t>
  </si>
  <si>
    <t>Sanjeev</t>
  </si>
  <si>
    <t>Vinod</t>
  </si>
  <si>
    <t>Rank</t>
  </si>
  <si>
    <t>Less populated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</si>
</sst>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2" fontId="0" fillId="0" borderId="0" xfId="0" applyNumberFormat="1"/>
    <xf numFmtId="0" fontId="0" fillId="0" borderId="1" xfId="0" applyFill="1" applyBorder="1"/>
    <xf numFmtId="0" fontId="1" fillId="2" borderId="1" xfId="0" applyFont="1" applyFill="1" applyBorder="1" applyAlignment="1">
      <alignment wrapText="1"/>
    </xf>
    <xf numFmtId="171" fontId="0" fillId="0" borderId="1" xfId="0" quotePrefix="1" applyNumberFormat="1" applyBorder="1"/>
    <xf numFmtId="2" fontId="0" fillId="0" borderId="1" xfId="0" quotePrefix="1" applyNumberFormat="1" applyBorder="1"/>
    <xf numFmtId="0" fontId="1" fillId="2" borderId="0" xfId="0" applyFont="1" applyFill="1" applyBorder="1" applyAlignment="1">
      <alignment wrapText="1"/>
    </xf>
    <xf numFmtId="0" fontId="0" fillId="0" borderId="0" xfId="0" applyBorder="1"/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u/>
        <color rgb="FFFF0000"/>
      </font>
    </dxf>
    <dxf>
      <font>
        <b/>
        <i/>
        <color theme="9"/>
      </font>
    </dxf>
    <dxf>
      <font>
        <b/>
        <i val="0"/>
        <color rgb="FF002060"/>
      </font>
    </dxf>
    <dxf>
      <font>
        <b/>
        <i val="0"/>
        <u/>
        <color rgb="FFFF0000"/>
      </font>
    </dxf>
    <dxf>
      <font>
        <b/>
        <i/>
        <color theme="9"/>
      </font>
    </dxf>
    <dxf>
      <font>
        <b/>
        <i val="0"/>
        <color rgb="FF002060"/>
      </font>
    </dxf>
    <dxf>
      <font>
        <b/>
        <i val="0"/>
        <u/>
        <color rgb="FFFF0000"/>
      </font>
    </dxf>
    <dxf>
      <font>
        <b/>
        <i/>
        <color theme="9"/>
      </font>
    </dxf>
    <dxf>
      <font>
        <b/>
        <i val="0"/>
        <color rgb="FF00206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115" zoomScaleNormal="115" workbookViewId="0">
      <selection activeCell="B4" sqref="B4"/>
    </sheetView>
  </sheetViews>
  <sheetFormatPr defaultRowHeight="15" x14ac:dyDescent="0.25"/>
  <cols>
    <col min="1" max="1" width="18.140625" bestFit="1" customWidth="1"/>
    <col min="2" max="2" width="22.42578125" bestFit="1" customWidth="1"/>
    <col min="3" max="9" width="5.5703125" customWidth="1"/>
  </cols>
  <sheetData>
    <row r="1" spans="1:9" x14ac:dyDescent="0.25">
      <c r="B1" s="1">
        <v>4</v>
      </c>
      <c r="C1" s="1">
        <v>6</v>
      </c>
      <c r="D1" s="1">
        <v>9</v>
      </c>
      <c r="E1" s="1">
        <v>20</v>
      </c>
      <c r="F1" s="1">
        <v>6</v>
      </c>
      <c r="G1" s="1">
        <v>8</v>
      </c>
      <c r="H1" s="1">
        <v>10</v>
      </c>
      <c r="I1" s="1">
        <v>15</v>
      </c>
    </row>
    <row r="4" spans="1:9" x14ac:dyDescent="0.25">
      <c r="A4" s="2" t="s">
        <v>0</v>
      </c>
      <c r="B4" s="3" t="s">
        <v>1</v>
      </c>
      <c r="C4" s="3">
        <f>AVERAGE(B1:I1)</f>
        <v>9.75</v>
      </c>
    </row>
    <row r="5" spans="1:9" x14ac:dyDescent="0.25">
      <c r="A5" s="2" t="s">
        <v>2</v>
      </c>
      <c r="B5" s="3" t="s">
        <v>3</v>
      </c>
      <c r="C5" s="3">
        <f>MEDIAN(B1:I1)</f>
        <v>8.5</v>
      </c>
    </row>
    <row r="6" spans="1:9" x14ac:dyDescent="0.25">
      <c r="A6" s="2" t="s">
        <v>4</v>
      </c>
      <c r="B6" s="3" t="s">
        <v>5</v>
      </c>
      <c r="C6" s="3">
        <f>MODE(B1:I1)</f>
        <v>6</v>
      </c>
      <c r="H6" s="4"/>
    </row>
    <row r="7" spans="1:9" x14ac:dyDescent="0.25">
      <c r="A7" s="2" t="s">
        <v>6</v>
      </c>
      <c r="B7" s="3" t="s">
        <v>7</v>
      </c>
      <c r="C7" s="3">
        <f>STDEV(B1:I1)</f>
        <v>5.3117121264509164</v>
      </c>
    </row>
    <row r="8" spans="1:9" x14ac:dyDescent="0.25">
      <c r="A8" s="2" t="s">
        <v>8</v>
      </c>
      <c r="B8" s="3" t="s">
        <v>9</v>
      </c>
      <c r="C8" s="3">
        <f>VAR(B1:I1)</f>
        <v>28.214285714285715</v>
      </c>
    </row>
    <row r="9" spans="1:9" x14ac:dyDescent="0.25">
      <c r="A9" s="2" t="s">
        <v>10</v>
      </c>
      <c r="B9" s="3" t="s">
        <v>11</v>
      </c>
      <c r="C9" s="3">
        <f>MAX(B1:I1)-MIN(B1:I1)</f>
        <v>16</v>
      </c>
    </row>
    <row r="10" spans="1:9" x14ac:dyDescent="0.25">
      <c r="A10" s="2" t="s">
        <v>12</v>
      </c>
      <c r="B10" s="3" t="s">
        <v>13</v>
      </c>
      <c r="C10" s="3">
        <f>MIN(B1:I1)</f>
        <v>4</v>
      </c>
    </row>
    <row r="11" spans="1:9" x14ac:dyDescent="0.25">
      <c r="A11" s="2" t="s">
        <v>14</v>
      </c>
      <c r="B11" s="3" t="s">
        <v>15</v>
      </c>
      <c r="C11" s="3">
        <f>MAX(B1:I1)</f>
        <v>20</v>
      </c>
    </row>
    <row r="12" spans="1:9" x14ac:dyDescent="0.25">
      <c r="A12" s="2" t="s">
        <v>16</v>
      </c>
      <c r="B12" s="3" t="s">
        <v>17</v>
      </c>
      <c r="C12" s="3">
        <f>SUM(B1:I1)</f>
        <v>78</v>
      </c>
    </row>
    <row r="13" spans="1:9" x14ac:dyDescent="0.25">
      <c r="A13" s="2" t="s">
        <v>18</v>
      </c>
      <c r="B13" s="3" t="s">
        <v>19</v>
      </c>
      <c r="C13" s="3">
        <f>COUNT(B1:I1)</f>
        <v>8</v>
      </c>
    </row>
    <row r="14" spans="1:9" x14ac:dyDescent="0.25">
      <c r="A14" s="5" t="s">
        <v>20</v>
      </c>
      <c r="B14" s="3" t="s">
        <v>21</v>
      </c>
      <c r="C14" s="3">
        <f>LARGE(B1:I1,1)</f>
        <v>20</v>
      </c>
    </row>
    <row r="15" spans="1:9" x14ac:dyDescent="0.25">
      <c r="A15" s="5" t="s">
        <v>22</v>
      </c>
      <c r="B15" s="3" t="s">
        <v>23</v>
      </c>
      <c r="C15" s="3">
        <f>SMALL(B1:I1,1)</f>
        <v>4</v>
      </c>
    </row>
    <row r="17" spans="3:3" x14ac:dyDescent="0.25">
      <c r="C17">
        <f>COUNTBLANK(C4:C15)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115" zoomScaleNormal="115" workbookViewId="0">
      <selection activeCell="I19" sqref="I19"/>
    </sheetView>
  </sheetViews>
  <sheetFormatPr defaultRowHeight="15" x14ac:dyDescent="0.25"/>
  <cols>
    <col min="1" max="1" width="18.140625" bestFit="1" customWidth="1"/>
    <col min="2" max="2" width="22.42578125" bestFit="1" customWidth="1"/>
    <col min="3" max="9" width="5.5703125" customWidth="1"/>
  </cols>
  <sheetData>
    <row r="1" spans="1:10" x14ac:dyDescent="0.25">
      <c r="C1" s="1">
        <v>4</v>
      </c>
      <c r="D1" s="1">
        <v>6</v>
      </c>
      <c r="E1" s="1">
        <v>9</v>
      </c>
      <c r="F1" s="1">
        <v>20</v>
      </c>
      <c r="G1" s="1">
        <v>6</v>
      </c>
      <c r="H1" s="1">
        <v>8</v>
      </c>
      <c r="I1" s="1">
        <v>10</v>
      </c>
      <c r="J1" s="1">
        <v>15</v>
      </c>
    </row>
    <row r="4" spans="1:10" x14ac:dyDescent="0.25">
      <c r="A4" s="2" t="s">
        <v>0</v>
      </c>
      <c r="B4" s="3">
        <f>AVERAGE(C1:J1)</f>
        <v>9.75</v>
      </c>
    </row>
    <row r="5" spans="1:10" x14ac:dyDescent="0.25">
      <c r="A5" s="2" t="s">
        <v>2</v>
      </c>
      <c r="B5" s="3">
        <f>MEDIAN(C1:J1)</f>
        <v>8.5</v>
      </c>
    </row>
    <row r="6" spans="1:10" x14ac:dyDescent="0.25">
      <c r="A6" s="2" t="s">
        <v>4</v>
      </c>
      <c r="B6" s="3">
        <f>MODE(C1:J1)</f>
        <v>6</v>
      </c>
      <c r="H6" s="4"/>
    </row>
    <row r="7" spans="1:10" x14ac:dyDescent="0.25">
      <c r="A7" s="2" t="s">
        <v>6</v>
      </c>
      <c r="B7" s="7">
        <f>STDEV(C1:J1)</f>
        <v>5.3117121264509164</v>
      </c>
    </row>
    <row r="8" spans="1:10" x14ac:dyDescent="0.25">
      <c r="A8" s="2" t="s">
        <v>8</v>
      </c>
      <c r="B8" s="8">
        <f>VAR(C1:J1)</f>
        <v>28.214285714285715</v>
      </c>
    </row>
    <row r="9" spans="1:10" x14ac:dyDescent="0.25">
      <c r="A9" s="2" t="s">
        <v>10</v>
      </c>
      <c r="B9" s="3">
        <f>MAX(C1:J1)-MIN(C1:J1)</f>
        <v>16</v>
      </c>
    </row>
    <row r="10" spans="1:10" x14ac:dyDescent="0.25">
      <c r="A10" s="2" t="s">
        <v>12</v>
      </c>
      <c r="B10" s="3">
        <f>MIN(C1:J1)</f>
        <v>4</v>
      </c>
    </row>
    <row r="11" spans="1:10" x14ac:dyDescent="0.25">
      <c r="A11" s="2" t="s">
        <v>14</v>
      </c>
      <c r="B11" s="3">
        <f>MAX(C1:J1)</f>
        <v>20</v>
      </c>
    </row>
    <row r="12" spans="1:10" x14ac:dyDescent="0.25">
      <c r="A12" s="2" t="s">
        <v>16</v>
      </c>
      <c r="B12" s="3">
        <f>SUM(C1:J1)</f>
        <v>78</v>
      </c>
    </row>
    <row r="13" spans="1:10" x14ac:dyDescent="0.25">
      <c r="A13" s="2" t="s">
        <v>18</v>
      </c>
      <c r="B13" s="3">
        <f>COUNT(C1:J1)</f>
        <v>8</v>
      </c>
    </row>
    <row r="14" spans="1:10" x14ac:dyDescent="0.25">
      <c r="A14" s="5" t="s">
        <v>20</v>
      </c>
      <c r="B14" s="3">
        <f>LARGE(C1:J1,2)</f>
        <v>15</v>
      </c>
    </row>
    <row r="15" spans="1:10" x14ac:dyDescent="0.25">
      <c r="A15" s="5" t="s">
        <v>22</v>
      </c>
      <c r="B15" s="3">
        <f>SMALL(C1:J1,2)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topLeftCell="A22" zoomScale="115" zoomScaleNormal="115" workbookViewId="0">
      <selection activeCell="E38" sqref="E38"/>
    </sheetView>
  </sheetViews>
  <sheetFormatPr defaultColWidth="14.42578125" defaultRowHeight="15" x14ac:dyDescent="0.25"/>
  <cols>
    <col min="4" max="4" width="23.7109375" customWidth="1"/>
    <col min="5" max="6" width="11.140625" customWidth="1"/>
  </cols>
  <sheetData>
    <row r="1" spans="1:10" x14ac:dyDescent="0.25">
      <c r="A1" s="6" t="s">
        <v>24</v>
      </c>
      <c r="B1" s="6" t="s">
        <v>25</v>
      </c>
      <c r="C1" s="6" t="s">
        <v>53</v>
      </c>
      <c r="D1" s="6" t="s">
        <v>26</v>
      </c>
      <c r="E1" s="6" t="s">
        <v>62</v>
      </c>
      <c r="F1" s="9"/>
    </row>
    <row r="2" spans="1:10" x14ac:dyDescent="0.25">
      <c r="A2" s="1" t="s">
        <v>27</v>
      </c>
      <c r="B2" s="2" t="s">
        <v>28</v>
      </c>
      <c r="C2" s="2" t="s">
        <v>54</v>
      </c>
      <c r="D2" s="2" t="s">
        <v>29</v>
      </c>
      <c r="E2" s="2">
        <v>45111</v>
      </c>
      <c r="F2" s="10">
        <f>RANK(E2,$E$2:$E$11)</f>
        <v>3</v>
      </c>
    </row>
    <row r="3" spans="1:10" x14ac:dyDescent="0.25">
      <c r="A3" s="1" t="s">
        <v>30</v>
      </c>
      <c r="B3" s="2" t="s">
        <v>31</v>
      </c>
      <c r="C3" s="2" t="s">
        <v>54</v>
      </c>
      <c r="D3" s="2" t="s">
        <v>32</v>
      </c>
      <c r="E3" s="2">
        <v>12500</v>
      </c>
      <c r="F3" s="10">
        <f t="shared" ref="F3:F11" si="0">RANK(E3,$E$2:$E$11)</f>
        <v>9</v>
      </c>
      <c r="H3" s="2"/>
      <c r="I3" s="2" t="s">
        <v>60</v>
      </c>
      <c r="J3" s="2" t="s">
        <v>61</v>
      </c>
    </row>
    <row r="4" spans="1:10" x14ac:dyDescent="0.25">
      <c r="A4" s="1" t="s">
        <v>33</v>
      </c>
      <c r="B4" s="2" t="s">
        <v>34</v>
      </c>
      <c r="C4" s="2" t="s">
        <v>54</v>
      </c>
      <c r="D4" s="2" t="s">
        <v>35</v>
      </c>
      <c r="E4" s="2">
        <v>25456</v>
      </c>
      <c r="F4" s="10">
        <f t="shared" si="0"/>
        <v>6</v>
      </c>
      <c r="H4" s="2" t="s">
        <v>55</v>
      </c>
      <c r="I4" s="2"/>
      <c r="J4" s="2"/>
    </row>
    <row r="5" spans="1:10" x14ac:dyDescent="0.25">
      <c r="A5" s="1" t="s">
        <v>36</v>
      </c>
      <c r="B5" s="2" t="s">
        <v>56</v>
      </c>
      <c r="C5" s="2" t="s">
        <v>55</v>
      </c>
      <c r="D5" s="2" t="s">
        <v>37</v>
      </c>
      <c r="E5" s="2">
        <v>18500</v>
      </c>
      <c r="F5" s="10">
        <f t="shared" si="0"/>
        <v>8</v>
      </c>
      <c r="H5" s="2" t="s">
        <v>54</v>
      </c>
      <c r="I5" s="2"/>
      <c r="J5" s="2"/>
    </row>
    <row r="6" spans="1:10" x14ac:dyDescent="0.25">
      <c r="A6" s="1" t="s">
        <v>38</v>
      </c>
      <c r="B6" s="2" t="s">
        <v>39</v>
      </c>
      <c r="C6" s="2" t="s">
        <v>54</v>
      </c>
      <c r="D6" s="2" t="s">
        <v>40</v>
      </c>
      <c r="E6" s="2">
        <v>46000</v>
      </c>
      <c r="F6" s="10">
        <f t="shared" si="0"/>
        <v>2</v>
      </c>
    </row>
    <row r="7" spans="1:10" x14ac:dyDescent="0.25">
      <c r="A7" s="1" t="s">
        <v>41</v>
      </c>
      <c r="B7" s="2" t="s">
        <v>57</v>
      </c>
      <c r="C7" s="2" t="s">
        <v>55</v>
      </c>
      <c r="D7" s="2" t="s">
        <v>42</v>
      </c>
      <c r="E7" s="2">
        <v>18666</v>
      </c>
      <c r="F7" s="10">
        <f t="shared" si="0"/>
        <v>7</v>
      </c>
    </row>
    <row r="8" spans="1:10" x14ac:dyDescent="0.25">
      <c r="A8" s="1" t="s">
        <v>43</v>
      </c>
      <c r="B8" s="2" t="s">
        <v>58</v>
      </c>
      <c r="C8" s="2" t="s">
        <v>55</v>
      </c>
      <c r="D8" s="2" t="s">
        <v>37</v>
      </c>
      <c r="E8" s="2">
        <v>12333</v>
      </c>
      <c r="F8" s="10">
        <f t="shared" si="0"/>
        <v>10</v>
      </c>
    </row>
    <row r="9" spans="1:10" x14ac:dyDescent="0.25">
      <c r="A9" s="1" t="s">
        <v>45</v>
      </c>
      <c r="B9" s="2" t="s">
        <v>46</v>
      </c>
      <c r="C9" s="2" t="s">
        <v>54</v>
      </c>
      <c r="D9" s="2" t="s">
        <v>29</v>
      </c>
      <c r="E9" s="2">
        <v>25802</v>
      </c>
      <c r="F9" s="10">
        <f t="shared" si="0"/>
        <v>5</v>
      </c>
    </row>
    <row r="10" spans="1:10" x14ac:dyDescent="0.25">
      <c r="A10" s="1" t="s">
        <v>47</v>
      </c>
      <c r="B10" s="2" t="s">
        <v>48</v>
      </c>
      <c r="C10" s="2" t="s">
        <v>55</v>
      </c>
      <c r="D10" s="2" t="s">
        <v>49</v>
      </c>
      <c r="E10" s="2">
        <v>36254</v>
      </c>
      <c r="F10" s="10">
        <f t="shared" si="0"/>
        <v>4</v>
      </c>
    </row>
    <row r="11" spans="1:10" x14ac:dyDescent="0.25">
      <c r="A11" s="1" t="s">
        <v>50</v>
      </c>
      <c r="B11" s="2" t="s">
        <v>59</v>
      </c>
      <c r="C11" s="2" t="s">
        <v>55</v>
      </c>
      <c r="D11" s="2" t="s">
        <v>52</v>
      </c>
      <c r="E11" s="2">
        <v>47852</v>
      </c>
      <c r="F11" s="10">
        <f t="shared" si="0"/>
        <v>1</v>
      </c>
    </row>
    <row r="16" spans="1:10" x14ac:dyDescent="0.25">
      <c r="A16" s="2" t="s">
        <v>64</v>
      </c>
      <c r="B16" s="2" t="s">
        <v>63</v>
      </c>
      <c r="C16" t="s">
        <v>83</v>
      </c>
      <c r="D16" t="s">
        <v>84</v>
      </c>
    </row>
    <row r="17" spans="1:8" x14ac:dyDescent="0.25">
      <c r="A17" s="2" t="s">
        <v>65</v>
      </c>
      <c r="B17" s="2">
        <v>48754595</v>
      </c>
      <c r="C17">
        <f>RANK(B17,$B$17:$B$20)</f>
        <v>1</v>
      </c>
      <c r="D17">
        <f>RANK(B17,$B$17:$B$20,1)</f>
        <v>4</v>
      </c>
    </row>
    <row r="18" spans="1:8" x14ac:dyDescent="0.25">
      <c r="A18" s="2" t="s">
        <v>66</v>
      </c>
      <c r="B18" s="2">
        <v>5469877</v>
      </c>
      <c r="C18">
        <f t="shared" ref="C18:C20" si="1">RANK(B18,$B$17:$B$20)</f>
        <v>3</v>
      </c>
      <c r="D18">
        <f t="shared" ref="D18:D20" si="2">RANK(B18,$B$17:$B$20,1)</f>
        <v>2</v>
      </c>
    </row>
    <row r="19" spans="1:8" x14ac:dyDescent="0.25">
      <c r="A19" s="2" t="s">
        <v>67</v>
      </c>
      <c r="B19" s="2">
        <v>14785236</v>
      </c>
      <c r="C19">
        <f t="shared" si="1"/>
        <v>2</v>
      </c>
      <c r="D19">
        <f t="shared" si="2"/>
        <v>3</v>
      </c>
    </row>
    <row r="20" spans="1:8" x14ac:dyDescent="0.25">
      <c r="A20" s="2" t="s">
        <v>68</v>
      </c>
      <c r="B20" s="2">
        <v>2365894</v>
      </c>
      <c r="C20">
        <f t="shared" si="1"/>
        <v>4</v>
      </c>
      <c r="D20">
        <f t="shared" si="2"/>
        <v>1</v>
      </c>
    </row>
    <row r="25" spans="1:8" ht="42.75" x14ac:dyDescent="0.25">
      <c r="A25" s="11" t="s">
        <v>69</v>
      </c>
      <c r="B25" s="12" t="s">
        <v>70</v>
      </c>
      <c r="C25" s="12" t="s">
        <v>71</v>
      </c>
      <c r="D25" s="12" t="s">
        <v>72</v>
      </c>
      <c r="E25" s="12" t="s">
        <v>73</v>
      </c>
      <c r="F25" s="13" t="s">
        <v>74</v>
      </c>
      <c r="G25" s="13" t="s">
        <v>75</v>
      </c>
      <c r="H25" s="20" t="s">
        <v>83</v>
      </c>
    </row>
    <row r="26" spans="1:8" ht="15.75" x14ac:dyDescent="0.25">
      <c r="A26" s="14">
        <v>1</v>
      </c>
      <c r="B26" s="15" t="s">
        <v>76</v>
      </c>
      <c r="C26" s="14">
        <v>32</v>
      </c>
      <c r="D26" s="14">
        <v>34</v>
      </c>
      <c r="E26" s="14">
        <v>45</v>
      </c>
      <c r="F26" s="16">
        <f>SUM(C26:E26)</f>
        <v>111</v>
      </c>
      <c r="G26" s="17">
        <f>AVERAGE(C26:E26)</f>
        <v>37</v>
      </c>
      <c r="H26">
        <f>RANK(G26,$G$26:$G$35)</f>
        <v>10</v>
      </c>
    </row>
    <row r="27" spans="1:8" ht="15.75" x14ac:dyDescent="0.25">
      <c r="A27" s="14">
        <v>2</v>
      </c>
      <c r="B27" s="15" t="s">
        <v>77</v>
      </c>
      <c r="C27" s="14">
        <v>95</v>
      </c>
      <c r="D27" s="14">
        <v>45</v>
      </c>
      <c r="E27" s="14">
        <v>85</v>
      </c>
      <c r="F27" s="16">
        <f t="shared" ref="F27:F35" si="3">SUM(C27:E27)</f>
        <v>225</v>
      </c>
      <c r="G27" s="17">
        <f t="shared" ref="G27:G35" si="4">AVERAGE(C27:E27)</f>
        <v>75</v>
      </c>
      <c r="H27">
        <f t="shared" ref="H27:H35" si="5">RANK(G27,$G$26:$G$35)</f>
        <v>1</v>
      </c>
    </row>
    <row r="28" spans="1:8" ht="15.75" x14ac:dyDescent="0.25">
      <c r="A28" s="14">
        <v>3</v>
      </c>
      <c r="B28" s="15" t="s">
        <v>78</v>
      </c>
      <c r="C28" s="14">
        <v>36</v>
      </c>
      <c r="D28" s="14">
        <v>45</v>
      </c>
      <c r="E28" s="14">
        <v>36</v>
      </c>
      <c r="F28" s="16">
        <f t="shared" si="3"/>
        <v>117</v>
      </c>
      <c r="G28" s="17">
        <f t="shared" si="4"/>
        <v>39</v>
      </c>
      <c r="H28">
        <f t="shared" si="5"/>
        <v>9</v>
      </c>
    </row>
    <row r="29" spans="1:8" ht="15.75" x14ac:dyDescent="0.25">
      <c r="A29" s="14">
        <v>4</v>
      </c>
      <c r="B29" s="18" t="s">
        <v>79</v>
      </c>
      <c r="C29" s="14">
        <v>85</v>
      </c>
      <c r="D29" s="14">
        <v>32</v>
      </c>
      <c r="E29" s="14">
        <v>15</v>
      </c>
      <c r="F29" s="16">
        <f t="shared" si="3"/>
        <v>132</v>
      </c>
      <c r="G29" s="17">
        <f t="shared" si="4"/>
        <v>44</v>
      </c>
      <c r="H29">
        <f t="shared" si="5"/>
        <v>7</v>
      </c>
    </row>
    <row r="30" spans="1:8" ht="15.75" x14ac:dyDescent="0.25">
      <c r="A30" s="14">
        <v>5</v>
      </c>
      <c r="B30" s="15" t="s">
        <v>80</v>
      </c>
      <c r="C30" s="14">
        <v>65</v>
      </c>
      <c r="D30" s="14">
        <v>85</v>
      </c>
      <c r="E30" s="14">
        <v>74</v>
      </c>
      <c r="F30" s="16">
        <f t="shared" si="3"/>
        <v>224</v>
      </c>
      <c r="G30" s="17">
        <f t="shared" si="4"/>
        <v>74.666666666666671</v>
      </c>
      <c r="H30">
        <f t="shared" si="5"/>
        <v>2</v>
      </c>
    </row>
    <row r="31" spans="1:8" ht="15.75" x14ac:dyDescent="0.25">
      <c r="A31" s="14">
        <v>6</v>
      </c>
      <c r="B31" s="19" t="s">
        <v>51</v>
      </c>
      <c r="C31" s="14">
        <v>45</v>
      </c>
      <c r="D31" s="14">
        <v>75</v>
      </c>
      <c r="E31" s="14">
        <v>85</v>
      </c>
      <c r="F31" s="16">
        <f t="shared" si="3"/>
        <v>205</v>
      </c>
      <c r="G31" s="17">
        <f t="shared" si="4"/>
        <v>68.333333333333329</v>
      </c>
      <c r="H31">
        <f t="shared" si="5"/>
        <v>4</v>
      </c>
    </row>
    <row r="32" spans="1:8" ht="15.75" x14ac:dyDescent="0.25">
      <c r="A32" s="14">
        <v>7</v>
      </c>
      <c r="B32" s="19" t="s">
        <v>34</v>
      </c>
      <c r="C32" s="14">
        <v>96</v>
      </c>
      <c r="D32" s="14">
        <v>85</v>
      </c>
      <c r="E32" s="14">
        <v>36</v>
      </c>
      <c r="F32" s="16">
        <f t="shared" si="3"/>
        <v>217</v>
      </c>
      <c r="G32" s="17">
        <f t="shared" si="4"/>
        <v>72.333333333333329</v>
      </c>
      <c r="H32">
        <f t="shared" si="5"/>
        <v>3</v>
      </c>
    </row>
    <row r="33" spans="1:8" ht="15.75" x14ac:dyDescent="0.25">
      <c r="A33" s="14">
        <v>8</v>
      </c>
      <c r="B33" s="19" t="s">
        <v>81</v>
      </c>
      <c r="C33" s="14">
        <v>35</v>
      </c>
      <c r="D33" s="14">
        <v>58</v>
      </c>
      <c r="E33" s="14">
        <v>62</v>
      </c>
      <c r="F33" s="16">
        <f t="shared" si="3"/>
        <v>155</v>
      </c>
      <c r="G33" s="17">
        <f t="shared" si="4"/>
        <v>51.666666666666664</v>
      </c>
      <c r="H33">
        <f t="shared" si="5"/>
        <v>6</v>
      </c>
    </row>
    <row r="34" spans="1:8" ht="15.75" x14ac:dyDescent="0.25">
      <c r="A34" s="14">
        <v>9</v>
      </c>
      <c r="B34" s="19" t="s">
        <v>82</v>
      </c>
      <c r="C34" s="14">
        <v>25</v>
      </c>
      <c r="D34" s="14">
        <v>59</v>
      </c>
      <c r="E34" s="14">
        <v>35</v>
      </c>
      <c r="F34" s="16">
        <f t="shared" si="3"/>
        <v>119</v>
      </c>
      <c r="G34" s="17">
        <f t="shared" si="4"/>
        <v>39.666666666666664</v>
      </c>
      <c r="H34">
        <f t="shared" si="5"/>
        <v>8</v>
      </c>
    </row>
    <row r="35" spans="1:8" ht="15.75" x14ac:dyDescent="0.25">
      <c r="A35" s="14">
        <v>10</v>
      </c>
      <c r="B35" s="19" t="s">
        <v>44</v>
      </c>
      <c r="C35" s="14">
        <v>16</v>
      </c>
      <c r="D35" s="14">
        <v>74</v>
      </c>
      <c r="E35" s="14">
        <v>85</v>
      </c>
      <c r="F35" s="16">
        <f t="shared" si="3"/>
        <v>175</v>
      </c>
      <c r="G35" s="17">
        <f t="shared" si="4"/>
        <v>58.333333333333336</v>
      </c>
      <c r="H35">
        <f t="shared" si="5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Statistical functions</vt:lpstr>
      <vt:lpstr>Statistical functions (2)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2024-02-13T22:26:44Z</dcterms:created>
  <dcterms:modified xsi:type="dcterms:W3CDTF">2024-02-14T01:05:47Z</dcterms:modified>
</cp:coreProperties>
</file>