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/>
  </bookViews>
  <sheets>
    <sheet name="Sheet1" sheetId="1" r:id="rId1"/>
    <sheet name="Sheet3" sheetId="3" r:id="rId2"/>
    <sheet name="Sheet2" sheetId="2" r:id="rId3"/>
    <sheet name="Sheet4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4" l="1"/>
  <c r="B15" i="2"/>
  <c r="C12" i="3"/>
  <c r="D15" i="1"/>
  <c r="E15" i="1"/>
  <c r="F15" i="1"/>
  <c r="G15" i="1"/>
  <c r="H15" i="1"/>
  <c r="C15" i="1"/>
  <c r="K15" i="1"/>
  <c r="K6" i="1"/>
  <c r="K7" i="1"/>
  <c r="K8" i="1"/>
  <c r="K9" i="1"/>
  <c r="K10" i="1"/>
  <c r="K11" i="1"/>
  <c r="K12" i="1"/>
  <c r="K13" i="1"/>
  <c r="K14" i="1"/>
  <c r="K5" i="1"/>
</calcChain>
</file>

<file path=xl/sharedStrings.xml><?xml version="1.0" encoding="utf-8"?>
<sst xmlns="http://schemas.openxmlformats.org/spreadsheetml/2006/main" count="96" uniqueCount="41">
  <si>
    <t>Products</t>
  </si>
  <si>
    <t>Price/Unit</t>
  </si>
  <si>
    <t>Jan</t>
  </si>
  <si>
    <t>Feb</t>
  </si>
  <si>
    <t>Mar</t>
  </si>
  <si>
    <t>Apr</t>
  </si>
  <si>
    <t>May</t>
  </si>
  <si>
    <t>Jun</t>
  </si>
  <si>
    <t>Fan</t>
  </si>
  <si>
    <t>Rice Cooker</t>
  </si>
  <si>
    <t>Total Sales Value</t>
  </si>
  <si>
    <t>Television</t>
  </si>
  <si>
    <t>Mobile</t>
  </si>
  <si>
    <t>Laptop</t>
  </si>
  <si>
    <t>Speaker</t>
  </si>
  <si>
    <t>Printer</t>
  </si>
  <si>
    <t>Monitor</t>
  </si>
  <si>
    <t>Projector</t>
  </si>
  <si>
    <t>Tablet</t>
  </si>
  <si>
    <t>SUMPRODUCT FUNCTION</t>
  </si>
  <si>
    <t>Product Name</t>
  </si>
  <si>
    <t>Region</t>
  </si>
  <si>
    <t>Sold Units</t>
  </si>
  <si>
    <t>Product A</t>
  </si>
  <si>
    <t>West</t>
  </si>
  <si>
    <t>Product D</t>
  </si>
  <si>
    <t>Product C</t>
  </si>
  <si>
    <t>East</t>
  </si>
  <si>
    <t>Total</t>
  </si>
  <si>
    <t>Unit sold</t>
  </si>
  <si>
    <t>Returns</t>
  </si>
  <si>
    <t>Qty Sold</t>
  </si>
  <si>
    <t>Item</t>
  </si>
  <si>
    <t>Size</t>
  </si>
  <si>
    <t>Sold</t>
  </si>
  <si>
    <t>T-Shirt</t>
  </si>
  <si>
    <t>Shirt</t>
  </si>
  <si>
    <t>Trouser</t>
  </si>
  <si>
    <t>S</t>
  </si>
  <si>
    <t>M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</si>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</sst>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0" fontId="0" fillId="0" borderId="2" xfId="0" applyBorder="1"/>
    <xf numFmtId="0" fontId="2" fillId="0" borderId="2" xfId="0" applyFont="1" applyFill="1" applyBorder="1"/>
    <xf numFmtId="0" fontId="1" fillId="0" borderId="2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0" borderId="0" xfId="0" applyFill="1" applyBorder="1"/>
    <xf numFmtId="0" fontId="2" fillId="3" borderId="1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zoomScale="110" zoomScaleNormal="110" workbookViewId="0">
      <selection activeCell="G15" sqref="G15"/>
    </sheetView>
  </sheetViews>
  <sheetFormatPr defaultRowHeight="15" x14ac:dyDescent="0.25"/>
  <cols>
    <col min="1" max="1" width="18.42578125" customWidth="1"/>
    <col min="2" max="2" width="14.140625" customWidth="1"/>
    <col min="3" max="3" width="11.85546875" customWidth="1"/>
    <col min="4" max="4" width="10.140625" customWidth="1"/>
    <col min="5" max="5" width="13" customWidth="1"/>
    <col min="6" max="8" width="10.28515625" bestFit="1" customWidth="1"/>
  </cols>
  <sheetData>
    <row r="1" spans="1:11" ht="18.75" x14ac:dyDescent="0.3">
      <c r="A1" s="17" t="s">
        <v>19</v>
      </c>
      <c r="B1" s="17"/>
    </row>
    <row r="4" spans="1:11" ht="15.75" x14ac:dyDescent="0.25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11" ht="15.75" x14ac:dyDescent="0.25">
      <c r="A5" s="3" t="s">
        <v>11</v>
      </c>
      <c r="B5" s="4">
        <v>50000</v>
      </c>
      <c r="C5" s="5">
        <v>17</v>
      </c>
      <c r="D5" s="5">
        <v>14</v>
      </c>
      <c r="E5" s="5">
        <v>4</v>
      </c>
      <c r="F5" s="5">
        <v>28</v>
      </c>
      <c r="G5" s="5">
        <v>7</v>
      </c>
      <c r="H5" s="5">
        <v>10</v>
      </c>
      <c r="K5">
        <f>B5*C5</f>
        <v>850000</v>
      </c>
    </row>
    <row r="6" spans="1:11" ht="15.75" x14ac:dyDescent="0.25">
      <c r="A6" s="3" t="s">
        <v>12</v>
      </c>
      <c r="B6" s="4">
        <v>24000</v>
      </c>
      <c r="C6" s="5">
        <v>36</v>
      </c>
      <c r="D6" s="5">
        <v>14</v>
      </c>
      <c r="E6" s="5">
        <v>6</v>
      </c>
      <c r="F6" s="5">
        <v>22</v>
      </c>
      <c r="G6" s="5">
        <v>18</v>
      </c>
      <c r="H6" s="5">
        <v>24</v>
      </c>
      <c r="K6">
        <f t="shared" ref="K6:K14" si="0">B6*C6</f>
        <v>864000</v>
      </c>
    </row>
    <row r="7" spans="1:11" ht="15.75" x14ac:dyDescent="0.25">
      <c r="A7" s="3" t="s">
        <v>13</v>
      </c>
      <c r="B7" s="4">
        <v>64200</v>
      </c>
      <c r="C7" s="5">
        <v>12</v>
      </c>
      <c r="D7" s="5">
        <v>16</v>
      </c>
      <c r="E7" s="5">
        <v>10</v>
      </c>
      <c r="F7" s="5">
        <v>17</v>
      </c>
      <c r="G7" s="5">
        <v>26</v>
      </c>
      <c r="H7" s="5">
        <v>22</v>
      </c>
      <c r="K7">
        <f t="shared" si="0"/>
        <v>770400</v>
      </c>
    </row>
    <row r="8" spans="1:11" ht="15.75" x14ac:dyDescent="0.25">
      <c r="A8" s="3" t="s">
        <v>14</v>
      </c>
      <c r="B8" s="4">
        <v>1900</v>
      </c>
      <c r="C8" s="5">
        <v>25</v>
      </c>
      <c r="D8" s="5">
        <v>14</v>
      </c>
      <c r="E8" s="5">
        <v>21</v>
      </c>
      <c r="F8" s="5">
        <v>16</v>
      </c>
      <c r="G8" s="5">
        <v>12</v>
      </c>
      <c r="H8" s="5">
        <v>18</v>
      </c>
      <c r="K8">
        <f t="shared" si="0"/>
        <v>47500</v>
      </c>
    </row>
    <row r="9" spans="1:11" ht="15.75" x14ac:dyDescent="0.25">
      <c r="A9" s="3" t="s">
        <v>15</v>
      </c>
      <c r="B9" s="4">
        <v>18000</v>
      </c>
      <c r="C9" s="5">
        <v>25</v>
      </c>
      <c r="D9" s="5">
        <v>26</v>
      </c>
      <c r="E9" s="5">
        <v>16</v>
      </c>
      <c r="F9" s="5">
        <v>17</v>
      </c>
      <c r="G9" s="5">
        <v>7</v>
      </c>
      <c r="H9" s="5">
        <v>6</v>
      </c>
      <c r="K9">
        <f t="shared" si="0"/>
        <v>450000</v>
      </c>
    </row>
    <row r="10" spans="1:11" ht="15.75" x14ac:dyDescent="0.25">
      <c r="A10" s="3" t="s">
        <v>16</v>
      </c>
      <c r="B10" s="4">
        <v>6000</v>
      </c>
      <c r="C10" s="5">
        <v>36</v>
      </c>
      <c r="D10" s="5">
        <v>36</v>
      </c>
      <c r="E10" s="5">
        <v>14</v>
      </c>
      <c r="F10" s="5">
        <v>14</v>
      </c>
      <c r="G10" s="5">
        <v>13</v>
      </c>
      <c r="H10" s="5">
        <v>7</v>
      </c>
      <c r="K10">
        <f t="shared" si="0"/>
        <v>216000</v>
      </c>
    </row>
    <row r="11" spans="1:11" ht="15.75" x14ac:dyDescent="0.25">
      <c r="A11" s="3" t="s">
        <v>17</v>
      </c>
      <c r="B11" s="4">
        <v>24500</v>
      </c>
      <c r="C11" s="5">
        <v>85</v>
      </c>
      <c r="D11" s="5">
        <v>25</v>
      </c>
      <c r="E11" s="5">
        <v>19</v>
      </c>
      <c r="F11" s="5">
        <v>10</v>
      </c>
      <c r="G11" s="5">
        <v>15</v>
      </c>
      <c r="H11" s="5">
        <v>4</v>
      </c>
      <c r="K11">
        <f t="shared" si="0"/>
        <v>2082500</v>
      </c>
    </row>
    <row r="12" spans="1:11" ht="15.75" x14ac:dyDescent="0.25">
      <c r="A12" s="3" t="s">
        <v>18</v>
      </c>
      <c r="B12" s="4">
        <v>8000</v>
      </c>
      <c r="C12" s="5">
        <v>69</v>
      </c>
      <c r="D12" s="5">
        <v>18</v>
      </c>
      <c r="E12" s="5">
        <v>21</v>
      </c>
      <c r="F12" s="5">
        <v>3</v>
      </c>
      <c r="G12" s="5">
        <v>18</v>
      </c>
      <c r="H12" s="5">
        <v>8</v>
      </c>
      <c r="K12">
        <f t="shared" si="0"/>
        <v>552000</v>
      </c>
    </row>
    <row r="13" spans="1:11" ht="15.75" x14ac:dyDescent="0.25">
      <c r="A13" s="3" t="s">
        <v>8</v>
      </c>
      <c r="B13" s="4">
        <v>3000</v>
      </c>
      <c r="C13" s="5">
        <v>64</v>
      </c>
      <c r="D13" s="5">
        <v>16</v>
      </c>
      <c r="E13" s="5">
        <v>15</v>
      </c>
      <c r="F13" s="5">
        <v>5</v>
      </c>
      <c r="G13" s="5">
        <v>11</v>
      </c>
      <c r="H13" s="5">
        <v>3</v>
      </c>
      <c r="K13">
        <f t="shared" si="0"/>
        <v>192000</v>
      </c>
    </row>
    <row r="14" spans="1:11" ht="15.75" x14ac:dyDescent="0.25">
      <c r="A14" s="3" t="s">
        <v>9</v>
      </c>
      <c r="B14" s="4">
        <v>7500</v>
      </c>
      <c r="C14" s="5">
        <v>21</v>
      </c>
      <c r="D14" s="5">
        <v>19</v>
      </c>
      <c r="E14" s="5">
        <v>9</v>
      </c>
      <c r="F14" s="5">
        <v>4</v>
      </c>
      <c r="G14" s="5">
        <v>22</v>
      </c>
      <c r="H14" s="5">
        <v>14</v>
      </c>
      <c r="K14">
        <f t="shared" si="0"/>
        <v>157500</v>
      </c>
    </row>
    <row r="15" spans="1:11" ht="15.75" x14ac:dyDescent="0.25">
      <c r="A15" s="16" t="s">
        <v>10</v>
      </c>
      <c r="B15" s="16"/>
      <c r="C15" s="6">
        <f>SUMPRODUCT($B$5:$B$14,C5:C14)</f>
        <v>6181900</v>
      </c>
      <c r="D15" s="6">
        <f t="shared" ref="D15:H15" si="1">SUMPRODUCT($B$5:$B$14,D5:D14)</f>
        <v>3720800</v>
      </c>
      <c r="E15" s="6">
        <f t="shared" si="1"/>
        <v>2143900</v>
      </c>
      <c r="F15" s="6">
        <f t="shared" si="1"/>
        <v>3753800</v>
      </c>
      <c r="G15" s="6">
        <f t="shared" si="1"/>
        <v>3387500</v>
      </c>
      <c r="H15" s="6">
        <f t="shared" si="1"/>
        <v>2948600</v>
      </c>
      <c r="K15">
        <f>SUM(K5:K14)</f>
        <v>6181900</v>
      </c>
    </row>
  </sheetData>
  <mergeCells count="2">
    <mergeCell ref="A15:B15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C13" sqref="C13"/>
    </sheetView>
  </sheetViews>
  <sheetFormatPr defaultRowHeight="15" x14ac:dyDescent="0.25"/>
  <cols>
    <col min="1" max="1" width="17.140625" customWidth="1"/>
    <col min="2" max="2" width="16" customWidth="1"/>
    <col min="3" max="3" width="19.85546875" customWidth="1"/>
    <col min="7" max="7" width="11.5703125" customWidth="1"/>
  </cols>
  <sheetData>
    <row r="1" spans="1:9" ht="15.75" x14ac:dyDescent="0.25">
      <c r="A1" s="12" t="s">
        <v>20</v>
      </c>
      <c r="B1" s="13" t="s">
        <v>21</v>
      </c>
      <c r="C1" s="13" t="s">
        <v>22</v>
      </c>
    </row>
    <row r="2" spans="1:9" ht="15.75" x14ac:dyDescent="0.25">
      <c r="A2" s="3" t="s">
        <v>23</v>
      </c>
      <c r="B2" s="4" t="s">
        <v>24</v>
      </c>
      <c r="C2" s="4">
        <v>32</v>
      </c>
    </row>
    <row r="3" spans="1:9" ht="15.75" x14ac:dyDescent="0.25">
      <c r="A3" s="3" t="s">
        <v>25</v>
      </c>
      <c r="B3" s="4" t="s">
        <v>24</v>
      </c>
      <c r="C3" s="4">
        <v>24</v>
      </c>
    </row>
    <row r="4" spans="1:9" ht="15.75" x14ac:dyDescent="0.25">
      <c r="A4" s="3" t="s">
        <v>26</v>
      </c>
      <c r="B4" s="4" t="s">
        <v>24</v>
      </c>
      <c r="C4" s="4">
        <v>13</v>
      </c>
    </row>
    <row r="5" spans="1:9" ht="15.75" x14ac:dyDescent="0.25">
      <c r="A5" s="3" t="s">
        <v>23</v>
      </c>
      <c r="B5" s="4" t="s">
        <v>27</v>
      </c>
      <c r="C5" s="4">
        <v>20</v>
      </c>
      <c r="G5" t="s">
        <v>23</v>
      </c>
      <c r="I5" t="s">
        <v>24</v>
      </c>
    </row>
    <row r="6" spans="1:9" ht="15.75" x14ac:dyDescent="0.25">
      <c r="A6" s="3" t="s">
        <v>23</v>
      </c>
      <c r="B6" s="4" t="s">
        <v>24</v>
      </c>
      <c r="C6" s="4">
        <v>12</v>
      </c>
      <c r="G6" t="s">
        <v>26</v>
      </c>
      <c r="I6" t="s">
        <v>27</v>
      </c>
    </row>
    <row r="7" spans="1:9" ht="15.75" x14ac:dyDescent="0.25">
      <c r="A7" s="3" t="s">
        <v>26</v>
      </c>
      <c r="B7" s="4" t="s">
        <v>24</v>
      </c>
      <c r="C7" s="4">
        <v>30</v>
      </c>
      <c r="G7" t="s">
        <v>25</v>
      </c>
    </row>
    <row r="8" spans="1:9" ht="15.75" x14ac:dyDescent="0.25">
      <c r="A8" s="3" t="s">
        <v>25</v>
      </c>
      <c r="B8" s="4" t="s">
        <v>24</v>
      </c>
      <c r="C8" s="4">
        <v>6</v>
      </c>
    </row>
    <row r="10" spans="1:9" ht="15.75" x14ac:dyDescent="0.25">
      <c r="A10" s="3"/>
      <c r="B10" s="4"/>
      <c r="C10" s="4" t="s">
        <v>28</v>
      </c>
    </row>
    <row r="11" spans="1:9" ht="15.75" x14ac:dyDescent="0.25">
      <c r="A11" s="12" t="s">
        <v>20</v>
      </c>
      <c r="B11" s="13" t="s">
        <v>21</v>
      </c>
      <c r="C11" s="13" t="s">
        <v>22</v>
      </c>
    </row>
    <row r="12" spans="1:9" ht="15.75" x14ac:dyDescent="0.25">
      <c r="A12" s="10" t="s">
        <v>25</v>
      </c>
      <c r="B12" s="11" t="s">
        <v>24</v>
      </c>
      <c r="C12" s="11">
        <f>SUMPRODUCT((A2:A8=A12)*(B2:B8=B12)*(C2:C8))</f>
        <v>30</v>
      </c>
    </row>
  </sheetData>
  <dataValidations count="2">
    <dataValidation type="list" allowBlank="1" showInputMessage="1" showErrorMessage="1" sqref="A12">
      <formula1>$G$5:$G$7</formula1>
    </dataValidation>
    <dataValidation type="list" allowBlank="1" showInputMessage="1" showErrorMessage="1" sqref="B12">
      <formula1>$I$5:$I$6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B16" sqref="B16"/>
    </sheetView>
  </sheetViews>
  <sheetFormatPr defaultRowHeight="15" x14ac:dyDescent="0.25"/>
  <cols>
    <col min="1" max="1" width="21.140625" customWidth="1"/>
    <col min="2" max="2" width="14" customWidth="1"/>
    <col min="3" max="3" width="10.7109375" customWidth="1"/>
  </cols>
  <sheetData>
    <row r="1" spans="1:3" ht="15.75" x14ac:dyDescent="0.25">
      <c r="A1" s="1" t="s">
        <v>0</v>
      </c>
      <c r="B1" s="2" t="s">
        <v>29</v>
      </c>
      <c r="C1" s="2" t="s">
        <v>30</v>
      </c>
    </row>
    <row r="2" spans="1:3" ht="15.75" x14ac:dyDescent="0.25">
      <c r="A2" s="3" t="s">
        <v>11</v>
      </c>
      <c r="B2" s="4">
        <v>54</v>
      </c>
      <c r="C2" s="4">
        <v>0</v>
      </c>
    </row>
    <row r="3" spans="1:3" ht="15.75" x14ac:dyDescent="0.25">
      <c r="A3" s="3" t="s">
        <v>12</v>
      </c>
      <c r="B3" s="4">
        <v>23</v>
      </c>
      <c r="C3" s="4">
        <v>1</v>
      </c>
    </row>
    <row r="4" spans="1:3" ht="15.75" x14ac:dyDescent="0.25">
      <c r="A4" s="3" t="s">
        <v>13</v>
      </c>
      <c r="B4" s="4">
        <v>69</v>
      </c>
      <c r="C4" s="4">
        <v>2</v>
      </c>
    </row>
    <row r="5" spans="1:3" ht="15.75" x14ac:dyDescent="0.25">
      <c r="A5" s="3" t="s">
        <v>14</v>
      </c>
      <c r="B5" s="4">
        <v>51</v>
      </c>
      <c r="C5" s="4">
        <v>3</v>
      </c>
    </row>
    <row r="6" spans="1:3" ht="15.75" x14ac:dyDescent="0.25">
      <c r="A6" s="3" t="s">
        <v>15</v>
      </c>
      <c r="B6" s="4">
        <v>28</v>
      </c>
      <c r="C6" s="4">
        <v>0</v>
      </c>
    </row>
    <row r="7" spans="1:3" ht="15.75" x14ac:dyDescent="0.25">
      <c r="A7" s="3" t="s">
        <v>16</v>
      </c>
      <c r="B7" s="4">
        <v>41</v>
      </c>
      <c r="C7" s="4">
        <v>1</v>
      </c>
    </row>
    <row r="8" spans="1:3" ht="15.75" x14ac:dyDescent="0.25">
      <c r="A8" s="3" t="s">
        <v>17</v>
      </c>
      <c r="B8" s="4">
        <v>12</v>
      </c>
      <c r="C8" s="4">
        <v>0</v>
      </c>
    </row>
    <row r="9" spans="1:3" ht="15.75" x14ac:dyDescent="0.25">
      <c r="A9" s="3" t="s">
        <v>18</v>
      </c>
      <c r="B9" s="4">
        <v>10</v>
      </c>
      <c r="C9" s="4">
        <v>2</v>
      </c>
    </row>
    <row r="10" spans="1:3" ht="15.75" x14ac:dyDescent="0.25">
      <c r="A10" s="3" t="s">
        <v>8</v>
      </c>
      <c r="B10" s="4">
        <v>26</v>
      </c>
      <c r="C10" s="4">
        <v>0</v>
      </c>
    </row>
    <row r="11" spans="1:3" ht="15.75" x14ac:dyDescent="0.25">
      <c r="A11" s="3" t="s">
        <v>9</v>
      </c>
      <c r="B11" s="4">
        <v>14</v>
      </c>
      <c r="C11" s="4">
        <v>1</v>
      </c>
    </row>
    <row r="14" spans="1:3" ht="15.75" x14ac:dyDescent="0.25">
      <c r="A14" s="8" t="s">
        <v>20</v>
      </c>
      <c r="B14" s="9" t="s">
        <v>31</v>
      </c>
    </row>
    <row r="15" spans="1:3" x14ac:dyDescent="0.25">
      <c r="A15" s="7" t="s">
        <v>13</v>
      </c>
      <c r="B15" s="7">
        <f>SUMPRODUCT((A2:A11=A15)*((B2:B11)-(C2:C11)))</f>
        <v>67</v>
      </c>
    </row>
    <row r="16" spans="1:3" x14ac:dyDescent="0.25">
      <c r="A16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zoomScaleNormal="100" workbookViewId="0">
      <selection activeCell="E16" sqref="E16"/>
    </sheetView>
  </sheetViews>
  <sheetFormatPr defaultRowHeight="15" x14ac:dyDescent="0.25"/>
  <cols>
    <col min="1" max="1" width="21.140625" customWidth="1"/>
    <col min="2" max="2" width="14" customWidth="1"/>
    <col min="3" max="3" width="10.7109375" customWidth="1"/>
  </cols>
  <sheetData>
    <row r="1" spans="1:9" ht="15.75" x14ac:dyDescent="0.25">
      <c r="A1" s="1" t="s">
        <v>32</v>
      </c>
      <c r="B1" s="2" t="s">
        <v>33</v>
      </c>
      <c r="C1" s="2" t="s">
        <v>34</v>
      </c>
    </row>
    <row r="2" spans="1:9" ht="15.75" x14ac:dyDescent="0.25">
      <c r="A2" s="3" t="s">
        <v>35</v>
      </c>
      <c r="B2" s="4" t="s">
        <v>38</v>
      </c>
      <c r="C2" s="4">
        <v>45</v>
      </c>
    </row>
    <row r="3" spans="1:9" ht="15.75" x14ac:dyDescent="0.25">
      <c r="A3" s="3" t="s">
        <v>36</v>
      </c>
      <c r="B3" s="4" t="s">
        <v>39</v>
      </c>
      <c r="C3" s="4">
        <v>21</v>
      </c>
    </row>
    <row r="4" spans="1:9" ht="15.75" x14ac:dyDescent="0.25">
      <c r="A4" s="3" t="s">
        <v>37</v>
      </c>
      <c r="B4" s="4" t="s">
        <v>40</v>
      </c>
      <c r="C4" s="4">
        <v>25</v>
      </c>
    </row>
    <row r="5" spans="1:9" ht="15.75" x14ac:dyDescent="0.25">
      <c r="A5" s="3" t="s">
        <v>35</v>
      </c>
      <c r="B5" s="4" t="s">
        <v>39</v>
      </c>
      <c r="C5" s="4">
        <v>20</v>
      </c>
    </row>
    <row r="6" spans="1:9" ht="15.75" x14ac:dyDescent="0.25">
      <c r="A6" s="3" t="s">
        <v>36</v>
      </c>
      <c r="B6" s="4" t="s">
        <v>40</v>
      </c>
      <c r="C6" s="4">
        <v>41</v>
      </c>
    </row>
    <row r="7" spans="1:9" ht="15.75" x14ac:dyDescent="0.25">
      <c r="A7" s="3" t="s">
        <v>37</v>
      </c>
      <c r="B7" s="4" t="s">
        <v>38</v>
      </c>
      <c r="C7" s="4">
        <v>19</v>
      </c>
      <c r="G7" s="3" t="s">
        <v>35</v>
      </c>
      <c r="I7" s="4" t="s">
        <v>38</v>
      </c>
    </row>
    <row r="8" spans="1:9" ht="15.75" x14ac:dyDescent="0.25">
      <c r="A8" s="3" t="s">
        <v>35</v>
      </c>
      <c r="B8" s="4" t="s">
        <v>40</v>
      </c>
      <c r="C8" s="4">
        <v>24</v>
      </c>
      <c r="G8" s="3" t="s">
        <v>36</v>
      </c>
      <c r="I8" s="4" t="s">
        <v>39</v>
      </c>
    </row>
    <row r="9" spans="1:9" ht="15.75" x14ac:dyDescent="0.25">
      <c r="A9" s="3" t="s">
        <v>36</v>
      </c>
      <c r="B9" s="4" t="s">
        <v>38</v>
      </c>
      <c r="C9" s="4">
        <v>16</v>
      </c>
      <c r="G9" s="3" t="s">
        <v>37</v>
      </c>
      <c r="I9" s="4" t="s">
        <v>40</v>
      </c>
    </row>
    <row r="10" spans="1:9" ht="15.75" x14ac:dyDescent="0.25">
      <c r="A10" s="3" t="s">
        <v>37</v>
      </c>
      <c r="B10" s="4" t="s">
        <v>39</v>
      </c>
      <c r="C10" s="4">
        <v>42</v>
      </c>
    </row>
    <row r="13" spans="1:9" ht="15.75" x14ac:dyDescent="0.25">
      <c r="A13" s="8" t="s">
        <v>32</v>
      </c>
      <c r="B13" s="14" t="s">
        <v>33</v>
      </c>
      <c r="C13" s="9" t="s">
        <v>28</v>
      </c>
    </row>
    <row r="14" spans="1:9" x14ac:dyDescent="0.25">
      <c r="A14" s="7" t="s">
        <v>36</v>
      </c>
      <c r="B14" s="7" t="s">
        <v>40</v>
      </c>
      <c r="C14" s="7">
        <f>SUMPRODUCT((A2:A10=A14)*(B2:B10=B14)*(C2:C10))</f>
        <v>41</v>
      </c>
    </row>
  </sheetData>
  <dataValidations count="2">
    <dataValidation type="list" allowBlank="1" showInputMessage="1" showErrorMessage="1" sqref="A14">
      <formula1>$G$7:$G$9</formula1>
    </dataValidation>
    <dataValidation type="list" allowBlank="1" showInputMessage="1" showErrorMessage="1" sqref="B14">
      <formula1>$I$7:$I$9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2024-02-14T13:10:03Z</dcterms:created>
  <dcterms:modified xsi:type="dcterms:W3CDTF">2024-02-18T23:55:58Z</dcterms:modified>
</cp:coreProperties>
</file>